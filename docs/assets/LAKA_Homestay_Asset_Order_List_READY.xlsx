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63124d519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76ee001f42464dc2"/>
    <x:sheet xmlns:r="http://schemas.openxmlformats.org/officeDocument/2006/relationships" name="01_Trang_Chu" sheetId="2" r:id="R845d29d6258b47fd"/>
    <x:sheet xmlns:r="http://schemas.openxmlformats.org/officeDocument/2006/relationships" name="02_Luu_Tru" sheetId="3" r:id="R38744d378b7d4924"/>
    <x:sheet xmlns:r="http://schemas.openxmlformats.org/officeDocument/2006/relationships" name="03_Trai_Nghiem" sheetId="4" r:id="Rc1a52612145a4788"/>
    <x:sheet xmlns:r="http://schemas.openxmlformats.org/officeDocument/2006/relationships" name="04_Am_Thuc" sheetId="5" r:id="Rb87ce18490d14a86"/>
    <x:sheet xmlns:r="http://schemas.openxmlformats.org/officeDocument/2006/relationships" name="05_Dich_Vu" sheetId="6" r:id="R14975370f4544643"/>
    <x:sheet xmlns:r="http://schemas.openxmlformats.org/officeDocument/2006/relationships" name="06_Ve_LAKA" sheetId="7" r:id="R02dc1e83dfba4ca0"/>
    <x:sheet xmlns:r="http://schemas.openxmlformats.org/officeDocument/2006/relationships" name="07_Di_Chuyen" sheetId="8" r:id="R57aa0467bf8248de"/>
    <x:sheet xmlns:r="http://schemas.openxmlformats.org/officeDocument/2006/relationships" name="08_Thong_Tin_Phap_Ly" sheetId="9" r:id="Rcf1c9fe8d65f4626"/>
    <x:sheet xmlns:r="http://schemas.openxmlformats.org/officeDocument/2006/relationships" name="09_Brand_SEO" sheetId="10" r:id="R9d742101d949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0"/>
      <x:color rgb="FF173F35"/>
      <x:name val="Arial"/>
    </x:font>
    <x:font>
      <x:sz val="10"/>
      <x:color rgb="FF24332E"/>
      <x:name val="Arial"/>
    </x:font>
    <x:font>
      <x:b/>
      <x:sz val="11"/>
      <x:color rgb="FFFFFFFF"/>
      <x:name val="Arial"/>
    </x:font>
    <x:font>
      <x:b/>
      <x:sz val="18"/>
      <x:color rgb="FFFFFFFF"/>
      <x:name val="Arial"/>
    </x:font>
    <x:font>
      <x:i/>
      <x:sz val="10"/>
      <x:color rgb="FF63716C"/>
      <x:name val="Arial"/>
    </x:font>
    <x:font>
      <x:b/>
      <x:sz val="10"/>
      <x:color rgb="FFFFFFFF"/>
      <x:name val="Arial"/>
    </x:font>
    <x:font>
      <x:b/>
      <x:sz val="20"/>
      <x:color rgb="FFFFFFFF"/>
      <x:name val="Arial"/>
    </x:font>
    <x:font>
      <x:b/>
      <x:sz val="11"/>
      <x:color rgb="FF173F35"/>
      <x:name val="Arial"/>
    </x:font>
    <x:font>
      <x:b/>
      <x:sz val="9"/>
      <x:color rgb="FFFFFFFF"/>
      <x:name val="Arial"/>
    </x:font>
    <x:font>
      <x:b/>
      <x:sz val="22"/>
      <x:color rgb="FF173F3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ADFCB"/>
      </x:patternFill>
    </x:fill>
    <x:fill>
      <x:patternFill patternType="solid">
        <x:fgColor rgb="FFFFFFFF"/>
      </x:patternFill>
    </x:fill>
    <x:fill>
      <x:patternFill patternType="solid">
        <x:fgColor rgb="FFFAFCFB"/>
      </x:patternFill>
    </x:fill>
    <x:fill>
      <x:patternFill patternType="solid">
        <x:fgColor rgb="FF173F35"/>
      </x:patternFill>
    </x:fill>
    <x:fill>
      <x:patternFill patternType="solid">
        <x:fgColor rgb="FFDCEDE6"/>
      </x:patternFill>
    </x:fill>
    <x:fill>
      <x:patternFill patternType="solid">
        <x:fgColor rgb="FFF7F3EA"/>
      </x:patternFill>
    </x:fill>
    <x:fill>
      <x:patternFill patternType="solid">
        <x:fgColor rgb="FF235B4D"/>
      </x:patternFill>
    </x:fill>
  </x:fills>
  <x:borders count="16">
    <x:border/>
    <x:border>
      <x:left style="thin">
        <x:color rgb="FFD4DDD8"/>
      </x:left>
      <x:top style="thin">
        <x:color rgb="FFD4DDD8"/>
      </x:top>
      <x:bottom style="thin">
        <x:color rgb="FFD4DDD8"/>
      </x:bottom>
    </x:border>
    <x:border>
      <x:top style="thin">
        <x:color rgb="FFD4DDD8"/>
      </x:top>
      <x:bottom style="thin">
        <x:color rgb="FFD4DDD8"/>
      </x:bottom>
    </x:border>
    <x:border>
      <x:right style="thin">
        <x:color rgb="FFD4DDD8"/>
      </x:right>
      <x:top style="thin">
        <x:color rgb="FFD4DDD8"/>
      </x:top>
      <x:bottom style="thin">
        <x:color rgb="FFD4DDD8"/>
      </x:bottom>
    </x:border>
    <x:border>
      <x:left style="thin">
        <x:color rgb="FFD4DDD8"/>
      </x:left>
      <x:right style="thin">
        <x:color rgb="FFD4DDD8"/>
      </x:right>
      <x:top style="thin">
        <x:color rgb="FFD4DDD8"/>
      </x:top>
      <x:bottom style="thin">
        <x:color rgb="FFD4DDD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173F35"/>
      </x:left>
      <x:right style="thin">
        <x:color rgb="FF173F35"/>
      </x:right>
      <x:top style="thin">
        <x:color rgb="FF173F35"/>
      </x:top>
      <x:bottom style="thin">
        <x:color rgb="FF173F35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4DDD8"/>
      </x:left>
      <x:top style="thin">
        <x:color rgb="FFD4DDD8"/>
      </x:top>
    </x:border>
    <x:border>
      <x:right style="thin">
        <x:color rgb="FFD4DDD8"/>
      </x:right>
      <x:top style="thin">
        <x:color rgb="FFD4DDD8"/>
      </x:top>
    </x:border>
    <x:border>
      <x:left style="thin">
        <x:color rgb="FFD4DDD8"/>
      </x:left>
      <x:bottom style="thin">
        <x:color rgb="FFD4DDD8"/>
      </x:bottom>
    </x:border>
    <x:border>
      <x:right style="thin">
        <x:color rgb="FFD4DDD8"/>
      </x:right>
      <x:bottom style="thin">
        <x:color rgb="FFD4DDD8"/>
      </x:bottom>
    </x:border>
    <x:border>
      <x:top style="thin">
        <x:color rgb="FFFFFFFF"/>
      </x:top>
      <x:bottom style="thin">
        <x:color rgb="FFFFFFFF"/>
      </x:bottom>
    </x:border>
    <x:border>
      <x:top style="thin">
        <x:color rgb="FFD4DDD8"/>
      </x:top>
    </x:border>
    <x:border>
      <x:bottom style="thin">
        <x:color rgb="FFD4DDD8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4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5" xfId="0" applyNumberFormat="1" applyFont="1" applyFill="1" applyBorder="1"/>
    <x:xf numFmtId="0" fontId="3" fillId="5" borderId="5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6" xfId="0" applyNumberFormat="1" applyFont="1" applyFill="1" applyBorder="1"/>
    <x:xf numFmtId="0" fontId="1" fillId="6" borderId="6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5" xfId="0" applyNumberFormat="1" applyFont="1" applyFill="1" applyBorder="1"/>
    <x:xf numFmtId="0" fontId="6" fillId="8" borderId="5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horizont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7" xfId="0" applyNumberFormat="1" applyFont="1" applyFill="1" applyBorder="1"/>
    <x:xf numFmtId="0" fontId="9" fillId="8" borderId="8" xfId="0" applyNumberFormat="1" applyFont="1" applyFill="1" applyBorder="1"/>
    <x:xf numFmtId="0" fontId="9" fillId="8" borderId="7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wrapText="1"/>
    </x:xf>
    <x:xf numFmtId="0" fontId="9" fillId="8" borderId="7" xfId="0" applyNumberFormat="1" applyFont="1" applyFill="1" applyBorder="1" applyAlignment="1">
      <x:alignment horizontal="center" wrapText="1"/>
    </x:xf>
    <x:xf numFmtId="0" fontId="9" fillId="8" borderId="8" xfId="0" applyNumberFormat="1" applyFont="1" applyFill="1" applyBorder="1" applyAlignment="1">
      <x:alignment horizontal="center" wrapText="1"/>
    </x:xf>
    <x:xf numFmtId="0" fontId="9" fillId="8" borderId="7" xfId="0" applyNumberFormat="1" applyFont="1" applyFill="1" applyBorder="1" applyAlignment="1">
      <x:alignment horizontal="center" vertical="center" wrapText="1"/>
    </x:xf>
    <x:xf numFmtId="0" fontId="9" fillId="8" borderId="8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/>
    <x:xf numFmtId="0" fontId="10" fillId="7" borderId="9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9" xfId="0" applyNumberFormat="1" applyFont="1" applyFill="1" applyBorder="1" applyAlignment="1">
      <x:alignment horizontal="center"/>
    </x:xf>
    <x:xf numFmtId="0" fontId="10" fillId="7" borderId="10" xfId="0" applyNumberFormat="1" applyFont="1" applyFill="1" applyBorder="1" applyAlignment="1">
      <x:alignment horizontal="center"/>
    </x:xf>
    <x:xf numFmtId="0" fontId="10" fillId="7" borderId="11" xfId="0" applyNumberFormat="1" applyFont="1" applyFill="1" applyBorder="1" applyAlignment="1">
      <x:alignment horizontal="center"/>
    </x:xf>
    <x:xf numFmtId="0" fontId="10" fillId="7" borderId="12" xfId="0" applyNumberFormat="1" applyFont="1" applyFill="1" applyBorder="1" applyAlignment="1">
      <x:alignment horizontal="center"/>
    </x:xf>
    <x:xf numFmtId="0" fontId="10" fillId="7" borderId="9" xfId="0" applyNumberFormat="1" applyFont="1" applyFill="1" applyBorder="1" applyAlignment="1">
      <x:alignment horizontal="center" vertical="center"/>
    </x:xf>
    <x:xf numFmtId="0" fontId="10" fillId="7" borderId="10" xfId="0" applyNumberFormat="1" applyFont="1" applyFill="1" applyBorder="1" applyAlignment="1">
      <x:alignment horizontal="center" vertical="center"/>
    </x:xf>
    <x:xf numFmtId="0" fontId="10" fillId="7" borderId="11" xfId="0" applyNumberFormat="1" applyFont="1" applyFill="1" applyBorder="1" applyAlignment="1">
      <x:alignment horizontal="center" vertical="center"/>
    </x:xf>
    <x:xf numFmtId="0" fontId="10" fillId="7" borderId="12" xfId="0" applyNumberFormat="1" applyFont="1" applyFill="1" applyBorder="1" applyAlignment="1">
      <x:alignment horizontal="center" vertical="center"/>
    </x:xf>
    <x:xf numFmtId="0" fontId="9" fillId="8" borderId="13" xfId="0" applyNumberFormat="1" applyFont="1" applyFill="1" applyBorder="1"/>
    <x:xf numFmtId="0" fontId="9" fillId="8" borderId="13" xfId="0" applyNumberFormat="1" applyFont="1" applyFill="1" applyBorder="1" applyAlignment="1">
      <x:alignment wrapText="1"/>
    </x:xf>
    <x:xf numFmtId="0" fontId="9" fillId="8" borderId="13" xfId="0" applyNumberFormat="1" applyFont="1" applyFill="1" applyBorder="1" applyAlignment="1">
      <x:alignment horizontal="center" wrapText="1"/>
    </x:xf>
    <x:xf numFmtId="0" fontId="9" fillId="8" borderId="13" xfId="0" applyNumberFormat="1" applyFont="1" applyFill="1" applyBorder="1" applyAlignment="1">
      <x:alignment horizontal="center" vertical="center" wrapText="1"/>
    </x:xf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4" xfId="0" applyNumberFormat="1" applyFont="1" applyFill="1" applyBorder="1" applyAlignment="1">
      <x:alignment horizontal="center"/>
    </x:xf>
    <x:xf numFmtId="0" fontId="10" fillId="7" borderId="15" xfId="0" applyNumberFormat="1" applyFont="1" applyFill="1" applyBorder="1" applyAlignment="1">
      <x:alignment horizontal="center"/>
    </x:xf>
    <x:xf numFmtId="0" fontId="10" fillId="7" borderId="14" xfId="0" applyNumberFormat="1" applyFont="1" applyFill="1" applyBorder="1" applyAlignment="1">
      <x:alignment horizontal="center" vertical="center"/>
    </x:xf>
    <x:xf numFmtId="0" fontId="10" fillId="7" borderId="15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</x:cellXfs>
  <x:cellStyles count="1">
    <x:cellStyle name="Normal" xfId="0"/>
  </x:cellStyles>
  <x:dxfs count="63">
    <x:dxf>
      <x:font>
        <x:b/>
        <x:color rgb="FF9C2F2F"/>
      </x:font>
      <x:fill>
        <x:patternFill>
          <x:bgColor rgb="FFFCE4E4"/>
        </x:patternFill>
      </x:fill>
    </x:dxf>
    <x:dxf>
      <x:font>
        <x:b/>
        <x:color rgb="FF225E4D"/>
      </x:font>
      <x:fill>
        <x:patternFill>
          <x:bgColor rgb="FFE4F1EC"/>
        </x:patternFill>
      </x:fill>
    </x:dxf>
    <x:dxf>
      <x:font>
        <x:b/>
        <x:color rgb="FF2E5680"/>
      </x:font>
      <x:fill>
        <x:patternFill>
          <x:bgColor rgb="FFE7EEF8"/>
        </x:patternFill>
      </x:fill>
    </x:dxf>
    <x:dxf>
      <x:font>
        <x:b/>
        <x:color rgb="FF8B5A13"/>
      </x:font>
      <x:fill>
        <x:patternFill>
          <x:bgColor rgb="FFFFF1D6"/>
        </x:patternFill>
      </x:fill>
    </x:dxf>
    <x:dxf>
      <x:font>
        <x:b/>
        <x:color rgb="FF68428A"/>
      </x:font>
      <x:fill>
        <x:patternFill>
          <x:bgColor rgb="FFEFE6F7"/>
        </x:patternFill>
      </x:fill>
    </x:dxf>
    <x:dxf>
      <x:font>
        <x:b/>
        <x:color rgb="FF25647C"/>
      </x:font>
      <x:fill>
        <x:patternFill>
          <x:bgColor rgb="FFE7F3F8"/>
        </x:patternFill>
      </x:fill>
    </x:dxf>
    <x:dxf>
      <x:font>
        <x:b/>
        <x:color rgb="FF5E6662"/>
      </x:font>
      <x:fill>
        <x:patternFill>
          <x:bgColor rgb="FFECEFED"/>
        </x:patternFill>
      </x:fill>
    </x:dxf>
    <x:dxf>
      <x:font>
        <x:b/>
        <x:color rgb="FF9C2F2F"/>
      </x:font>
      <x:fill>
        <x:patternFill>
          <x:bgColor rgb="FFFCE4E4"/>
        </x:patternFill>
      </x:fill>
    </x:dxf>
    <x:dxf>
      <x:font>
        <x:b/>
        <x:color rgb="FF225E4D"/>
      </x:font>
      <x:fill>
        <x:patternFill>
          <x:bgColor rgb="FFE4F1EC"/>
        </x:patternFill>
      </x:fill>
    </x:dxf>
    <x:dxf>
      <x:font>
        <x:b/>
        <x:color rgb="FF2E5680"/>
      </x:font>
      <x:fill>
        <x:patternFill>
          <x:bgColor rgb="FFE7EEF8"/>
        </x:patternFill>
      </x:fill>
    </x:dxf>
    <x:dxf>
      <x:font>
        <x:b/>
        <x:color rgb="FF8B5A13"/>
      </x:font>
      <x:fill>
        <x:patternFill>
          <x:bgColor rgb="FFFFF1D6"/>
        </x:patternFill>
      </x:fill>
    </x:dxf>
    <x:dxf>
      <x:font>
        <x:b/>
        <x:color rgb="FF68428A"/>
      </x:font>
      <x:fill>
        <x:patternFill>
          <x:bgColor rgb="FFEFE6F7"/>
        </x:patternFill>
      </x:fill>
    </x:dxf>
    <x:dxf>
      <x:font>
        <x:b/>
        <x:color rgb="FF25647C"/>
      </x:font>
      <x:fill>
        <x:patternFill>
          <x:bgColor rgb="FFE7F3F8"/>
        </x:patternFill>
      </x:fill>
    </x:dxf>
    <x:dxf>
      <x:font>
        <x:b/>
        <x:color rgb="FF5E6662"/>
      </x:font>
      <x:fill>
        <x:patternFill>
          <x:bgColor rgb="FFECEFED"/>
        </x:patternFill>
      </x:fill>
    </x:dxf>
    <x:dxf>
      <x:font>
        <x:b/>
        <x:color rgb="FF9C2F2F"/>
      </x:font>
      <x:fill>
        <x:patternFill>
          <x:bgColor rgb="FFFCE4E4"/>
        </x:patternFill>
      </x:fill>
    </x:dxf>
    <x:dxf>
      <x:font>
        <x:b/>
        <x:color rgb="FF225E4D"/>
      </x:font>
      <x:fill>
        <x:patternFill>
          <x:bgColor rgb="FFE4F1EC"/>
        </x:patternFill>
      </x:fill>
    </x:dxf>
    <x:dxf>
      <x:font>
        <x:b/>
        <x:color rgb="FF2E5680"/>
      </x:font>
      <x:fill>
        <x:patternFill>
          <x:bgColor rgb="FFE7EEF8"/>
        </x:patternFill>
      </x:fill>
    </x:dxf>
    <x:dxf>
      <x:font>
        <x:b/>
        <x:color rgb="FF8B5A13"/>
      </x:font>
      <x:fill>
        <x:patternFill>
          <x:bgColor rgb="FFFFF1D6"/>
        </x:patternFill>
      </x:fill>
    </x:dxf>
    <x:dxf>
      <x:font>
        <x:b/>
        <x:color rgb="FF68428A"/>
      </x:font>
      <x:fill>
        <x:patternFill>
          <x:bgColor rgb="FFEFE6F7"/>
        </x:patternFill>
      </x:fill>
    </x:dxf>
    <x:dxf>
      <x:font>
        <x:b/>
        <x:color rgb="FF25647C"/>
      </x:font>
      <x:fill>
        <x:patternFill>
          <x:bgColor rgb="FFE7F3F8"/>
        </x:patternFill>
      </x:fill>
    </x:dxf>
    <x:dxf>
      <x:font>
        <x:b/>
        <x:color rgb="FF5E6662"/>
      </x:font>
      <x:fill>
        <x:patternFill>
          <x:bgColor rgb="FFECEFED"/>
        </x:patternFill>
      </x:fill>
    </x:dxf>
    <x:dxf>
      <x:font>
        <x:b/>
        <x:color rgb="FF9C2F2F"/>
      </x:font>
      <x:fill>
        <x:patternFill>
          <x:bgColor rgb="FFFCE4E4"/>
        </x:patternFill>
      </x:fill>
    </x:dxf>
    <x:dxf>
      <x:font>
        <x:b/>
        <x:color rgb="FF225E4D"/>
      </x:font>
      <x:fill>
        <x:patternFill>
          <x:bgColor rgb="FFE4F1EC"/>
        </x:patternFill>
      </x:fill>
    </x:dxf>
    <x:dxf>
      <x:font>
        <x:b/>
        <x:color rgb="FF2E5680"/>
      </x:font>
      <x:fill>
        <x:patternFill>
          <x:bgColor rgb="FFE7EEF8"/>
        </x:patternFill>
      </x:fill>
    </x:dxf>
    <x:dxf>
      <x:font>
        <x:b/>
        <x:color rgb="FF8B5A13"/>
      </x:font>
      <x:fill>
        <x:patternFill>
          <x:bgColor rgb="FFFFF1D6"/>
        </x:patternFill>
      </x:fill>
    </x:dxf>
    <x:dxf>
      <x:font>
        <x:b/>
        <x:color rgb="FF68428A"/>
      </x:font>
      <x:fill>
        <x:patternFill>
          <x:bgColor rgb="FFEFE6F7"/>
        </x:patternFill>
      </x:fill>
    </x:dxf>
    <x:dxf>
      <x:font>
        <x:b/>
        <x:color rgb="FF25647C"/>
      </x:font>
      <x:fill>
        <x:patternFill>
          <x:bgColor rgb="FFE7F3F8"/>
        </x:patternFill>
      </x:fill>
    </x:dxf>
    <x:dxf>
      <x:font>
        <x:b/>
        <x:color rgb="FF5E6662"/>
      </x:font>
      <x:fill>
        <x:patternFill>
          <x:bgColor rgb="FFECEFED"/>
        </x:patternFill>
      </x:fill>
    </x:dxf>
    <x:dxf>
      <x:font>
        <x:b/>
        <x:color rgb="FF9C2F2F"/>
      </x:font>
      <x:fill>
        <x:patternFill>
          <x:bgColor rgb="FFFCE4E4"/>
        </x:patternFill>
      </x:fill>
    </x:dxf>
    <x:dxf>
      <x:font>
        <x:b/>
        <x:color rgb="FF225E4D"/>
      </x:font>
      <x:fill>
        <x:patternFill>
          <x:bgColor rgb="FFE4F1EC"/>
        </x:patternFill>
      </x:fill>
    </x:dxf>
    <x:dxf>
      <x:font>
        <x:b/>
        <x:color rgb="FF2E5680"/>
      </x:font>
      <x:fill>
        <x:patternFill>
          <x:bgColor rgb="FFE7EEF8"/>
        </x:patternFill>
      </x:fill>
    </x:dxf>
    <x:dxf>
      <x:font>
        <x:b/>
        <x:color rgb="FF8B5A13"/>
      </x:font>
      <x:fill>
        <x:patternFill>
          <x:bgColor rgb="FFFFF1D6"/>
        </x:patternFill>
      </x:fill>
    </x:dxf>
    <x:dxf>
      <x:font>
        <x:b/>
        <x:color rgb="FF68428A"/>
      </x:font>
      <x:fill>
        <x:patternFill>
          <x:bgColor rgb="FFEFE6F7"/>
        </x:patternFill>
      </x:fill>
    </x:dxf>
    <x:dxf>
      <x:font>
        <x:b/>
        <x:color rgb="FF25647C"/>
      </x:font>
      <x:fill>
        <x:patternFill>
          <x:bgColor rgb="FFE7F3F8"/>
        </x:patternFill>
      </x:fill>
    </x:dxf>
    <x:dxf>
      <x:font>
        <x:b/>
        <x:color rgb="FF5E6662"/>
      </x:font>
      <x:fill>
        <x:patternFill>
          <x:bgColor rgb="FFECEFED"/>
        </x:patternFill>
      </x:fill>
    </x:dxf>
    <x:dxf>
      <x:font>
        <x:b/>
        <x:color rgb="FF9C2F2F"/>
      </x:font>
      <x:fill>
        <x:patternFill>
          <x:bgColor rgb="FFFCE4E4"/>
        </x:patternFill>
      </x:fill>
    </x:dxf>
    <x:dxf>
      <x:font>
        <x:b/>
        <x:color rgb="FF225E4D"/>
      </x:font>
      <x:fill>
        <x:patternFill>
          <x:bgColor rgb="FFE4F1EC"/>
        </x:patternFill>
      </x:fill>
    </x:dxf>
    <x:dxf>
      <x:font>
        <x:b/>
        <x:color rgb="FF2E5680"/>
      </x:font>
      <x:fill>
        <x:patternFill>
          <x:bgColor rgb="FFE7EEF8"/>
        </x:patternFill>
      </x:fill>
    </x:dxf>
    <x:dxf>
      <x:font>
        <x:b/>
        <x:color rgb="FF8B5A13"/>
      </x:font>
      <x:fill>
        <x:patternFill>
          <x:bgColor rgb="FFFFF1D6"/>
        </x:patternFill>
      </x:fill>
    </x:dxf>
    <x:dxf>
      <x:font>
        <x:b/>
        <x:color rgb="FF68428A"/>
      </x:font>
      <x:fill>
        <x:patternFill>
          <x:bgColor rgb="FFEFE6F7"/>
        </x:patternFill>
      </x:fill>
    </x:dxf>
    <x:dxf>
      <x:font>
        <x:b/>
        <x:color rgb="FF25647C"/>
      </x:font>
      <x:fill>
        <x:patternFill>
          <x:bgColor rgb="FFE7F3F8"/>
        </x:patternFill>
      </x:fill>
    </x:dxf>
    <x:dxf>
      <x:font>
        <x:b/>
        <x:color rgb="FF5E6662"/>
      </x:font>
      <x:fill>
        <x:patternFill>
          <x:bgColor rgb="FFECEFED"/>
        </x:patternFill>
      </x:fill>
    </x:dxf>
    <x:dxf>
      <x:font>
        <x:b/>
        <x:color rgb="FF9C2F2F"/>
      </x:font>
      <x:fill>
        <x:patternFill>
          <x:bgColor rgb="FFFCE4E4"/>
        </x:patternFill>
      </x:fill>
    </x:dxf>
    <x:dxf>
      <x:font>
        <x:b/>
        <x:color rgb="FF225E4D"/>
      </x:font>
      <x:fill>
        <x:patternFill>
          <x:bgColor rgb="FFE4F1EC"/>
        </x:patternFill>
      </x:fill>
    </x:dxf>
    <x:dxf>
      <x:font>
        <x:b/>
        <x:color rgb="FF2E5680"/>
      </x:font>
      <x:fill>
        <x:patternFill>
          <x:bgColor rgb="FFE7EEF8"/>
        </x:patternFill>
      </x:fill>
    </x:dxf>
    <x:dxf>
      <x:font>
        <x:b/>
        <x:color rgb="FF8B5A13"/>
      </x:font>
      <x:fill>
        <x:patternFill>
          <x:bgColor rgb="FFFFF1D6"/>
        </x:patternFill>
      </x:fill>
    </x:dxf>
    <x:dxf>
      <x:font>
        <x:b/>
        <x:color rgb="FF68428A"/>
      </x:font>
      <x:fill>
        <x:patternFill>
          <x:bgColor rgb="FFEFE6F7"/>
        </x:patternFill>
      </x:fill>
    </x:dxf>
    <x:dxf>
      <x:font>
        <x:b/>
        <x:color rgb="FF25647C"/>
      </x:font>
      <x:fill>
        <x:patternFill>
          <x:bgColor rgb="FFE7F3F8"/>
        </x:patternFill>
      </x:fill>
    </x:dxf>
    <x:dxf>
      <x:font>
        <x:b/>
        <x:color rgb="FF5E6662"/>
      </x:font>
      <x:fill>
        <x:patternFill>
          <x:bgColor rgb="FFECEFED"/>
        </x:patternFill>
      </x:fill>
    </x:dxf>
    <x:dxf>
      <x:font>
        <x:b/>
        <x:color rgb="FF9C2F2F"/>
      </x:font>
      <x:fill>
        <x:patternFill>
          <x:bgColor rgb="FFFCE4E4"/>
        </x:patternFill>
      </x:fill>
    </x:dxf>
    <x:dxf>
      <x:font>
        <x:b/>
        <x:color rgb="FF225E4D"/>
      </x:font>
      <x:fill>
        <x:patternFill>
          <x:bgColor rgb="FFE4F1EC"/>
        </x:patternFill>
      </x:fill>
    </x:dxf>
    <x:dxf>
      <x:font>
        <x:b/>
        <x:color rgb="FF2E5680"/>
      </x:font>
      <x:fill>
        <x:patternFill>
          <x:bgColor rgb="FFE7EEF8"/>
        </x:patternFill>
      </x:fill>
    </x:dxf>
    <x:dxf>
      <x:font>
        <x:b/>
        <x:color rgb="FF8B5A13"/>
      </x:font>
      <x:fill>
        <x:patternFill>
          <x:bgColor rgb="FFFFF1D6"/>
        </x:patternFill>
      </x:fill>
    </x:dxf>
    <x:dxf>
      <x:font>
        <x:b/>
        <x:color rgb="FF68428A"/>
      </x:font>
      <x:fill>
        <x:patternFill>
          <x:bgColor rgb="FFEFE6F7"/>
        </x:patternFill>
      </x:fill>
    </x:dxf>
    <x:dxf>
      <x:font>
        <x:b/>
        <x:color rgb="FF25647C"/>
      </x:font>
      <x:fill>
        <x:patternFill>
          <x:bgColor rgb="FFE7F3F8"/>
        </x:patternFill>
      </x:fill>
    </x:dxf>
    <x:dxf>
      <x:font>
        <x:b/>
        <x:color rgb="FF5E6662"/>
      </x:font>
      <x:fill>
        <x:patternFill>
          <x:bgColor rgb="FFECEFED"/>
        </x:patternFill>
      </x:fill>
    </x:dxf>
    <x:dxf>
      <x:font>
        <x:b/>
        <x:color rgb="FF9C2F2F"/>
      </x:font>
      <x:fill>
        <x:patternFill>
          <x:bgColor rgb="FFFCE4E4"/>
        </x:patternFill>
      </x:fill>
    </x:dxf>
    <x:dxf>
      <x:font>
        <x:b/>
        <x:color rgb="FF225E4D"/>
      </x:font>
      <x:fill>
        <x:patternFill>
          <x:bgColor rgb="FFE4F1EC"/>
        </x:patternFill>
      </x:fill>
    </x:dxf>
    <x:dxf>
      <x:font>
        <x:b/>
        <x:color rgb="FF2E5680"/>
      </x:font>
      <x:fill>
        <x:patternFill>
          <x:bgColor rgb="FFE7EEF8"/>
        </x:patternFill>
      </x:fill>
    </x:dxf>
    <x:dxf>
      <x:font>
        <x:b/>
        <x:color rgb="FF8B5A13"/>
      </x:font>
      <x:fill>
        <x:patternFill>
          <x:bgColor rgb="FFFFF1D6"/>
        </x:patternFill>
      </x:fill>
    </x:dxf>
    <x:dxf>
      <x:font>
        <x:b/>
        <x:color rgb="FF68428A"/>
      </x:font>
      <x:fill>
        <x:patternFill>
          <x:bgColor rgb="FFEFE6F7"/>
        </x:patternFill>
      </x:fill>
    </x:dxf>
    <x:dxf>
      <x:font>
        <x:b/>
        <x:color rgb="FF25647C"/>
      </x:font>
      <x:fill>
        <x:patternFill>
          <x:bgColor rgb="FFE7F3F8"/>
        </x:patternFill>
      </x:fill>
    </x:dxf>
    <x:dxf>
      <x:font>
        <x:b/>
        <x:color rgb="FF5E6662"/>
      </x:font>
      <x:fill>
        <x:patternFill>
          <x:bgColor rgb="FFECEF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108e847eb4a91" /><Relationship Type="http://schemas.openxmlformats.org/officeDocument/2006/relationships/theme" Target="/xl/theme/theme1.xml" Id="R9e6779aa2dbc441c" /><Relationship Type="http://schemas.openxmlformats.org/officeDocument/2006/relationships/sharedStrings" Target="/xl/sharedStrings.xml" Id="R675af692b6e74b48" /><Relationship Type="http://schemas.openxmlformats.org/officeDocument/2006/relationships/worksheet" Target="/xl/worksheets/sheet1.xml" Id="R76ee001f42464dc2" /><Relationship Type="http://schemas.openxmlformats.org/officeDocument/2006/relationships/worksheet" Target="/xl/worksheets/sheet2.xml" Id="R845d29d6258b47fd" /><Relationship Type="http://schemas.openxmlformats.org/officeDocument/2006/relationships/worksheet" Target="/xl/worksheets/sheet3.xml" Id="R38744d378b7d4924" /><Relationship Type="http://schemas.openxmlformats.org/officeDocument/2006/relationships/worksheet" Target="/xl/worksheets/sheet4.xml" Id="Rc1a52612145a4788" /><Relationship Type="http://schemas.openxmlformats.org/officeDocument/2006/relationships/worksheet" Target="/xl/worksheets/sheet5.xml" Id="Rb87ce18490d14a86" /><Relationship Type="http://schemas.openxmlformats.org/officeDocument/2006/relationships/worksheet" Target="/xl/worksheets/sheet6.xml" Id="R14975370f4544643" /><Relationship Type="http://schemas.openxmlformats.org/officeDocument/2006/relationships/worksheet" Target="/xl/worksheets/sheet7.xml" Id="R02dc1e83dfba4ca0" /><Relationship Type="http://schemas.openxmlformats.org/officeDocument/2006/relationships/worksheet" Target="/xl/worksheets/sheet8.xml" Id="R57aa0467bf8248de" /><Relationship Type="http://schemas.openxmlformats.org/officeDocument/2006/relationships/worksheet" Target="/xl/worksheets/sheet9.xml" Id="Rcf1c9fe8d65f4626" /><Relationship Type="http://schemas.openxmlformats.org/officeDocument/2006/relationships/worksheet" Target="/xl/worksheets/sheet10.xml" Id="R9d742101d94944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adc7e2958394f21" /><Relationship Type="http://schemas.openxmlformats.org/officeDocument/2006/relationships/image" Target="/xl/media/image2.jpg" Id="R5daa1495a79546e4" /><Relationship Type="http://schemas.openxmlformats.org/officeDocument/2006/relationships/image" Target="/xl/media/image3.jpg" Id="Re4564e22d15d4c74" /><Relationship Type="http://schemas.openxmlformats.org/officeDocument/2006/relationships/image" Target="/xl/media/image4.jpg" Id="R8e48f9349d034fc5" /><Relationship Type="http://schemas.openxmlformats.org/officeDocument/2006/relationships/image" Target="/xl/media/image5.jpg" Id="Rf34d10faf28941c2" /><Relationship Type="http://schemas.openxmlformats.org/officeDocument/2006/relationships/image" Target="/xl/media/image6.jpg" Id="R2da2ffd192084480" /><Relationship Type="http://schemas.openxmlformats.org/officeDocument/2006/relationships/image" Target="/xl/media/image7.jpg" Id="R7acfe03a4911490e" /><Relationship Type="http://schemas.openxmlformats.org/officeDocument/2006/relationships/image" Target="/xl/media/image8.jpg" Id="R93bffd784d8645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9.jpg" Id="Ra6aa62f1d8e145db" /><Relationship Type="http://schemas.openxmlformats.org/officeDocument/2006/relationships/image" Target="/xl/media/image10.jpg" Id="R2f36d645fef742f4" /><Relationship Type="http://schemas.openxmlformats.org/officeDocument/2006/relationships/image" Target="/xl/media/image11.jpg" Id="R750fdafa49ef47c3" /><Relationship Type="http://schemas.openxmlformats.org/officeDocument/2006/relationships/image" Target="/xl/media/image12.jpg" Id="R023bed1880184eae" /><Relationship Type="http://schemas.openxmlformats.org/officeDocument/2006/relationships/image" Target="/xl/media/image13.jpg" Id="R6ea99ca1837c4fb4" /><Relationship Type="http://schemas.openxmlformats.org/officeDocument/2006/relationships/image" Target="/xl/media/image14.jpg" Id="Rd24e92db7bd74e5e" /><Relationship Type="http://schemas.openxmlformats.org/officeDocument/2006/relationships/image" Target="/xl/media/image15.jpg" Id="R770662d4c62d402e" /><Relationship Type="http://schemas.openxmlformats.org/officeDocument/2006/relationships/image" Target="/xl/media/image16.jpg" Id="R93373cca84e0496e" /><Relationship Type="http://schemas.openxmlformats.org/officeDocument/2006/relationships/image" Target="/xl/media/image17.jpg" Id="Re66b12b1df664eb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8.jpg" Id="R581177c6059943d0" /><Relationship Type="http://schemas.openxmlformats.org/officeDocument/2006/relationships/image" Target="/xl/media/image19.jpg" Id="R5e5bc2c57a5b41f8" /><Relationship Type="http://schemas.openxmlformats.org/officeDocument/2006/relationships/image" Target="/xl/media/image20.jpg" Id="Rb972d2fd77fd4fac" /><Relationship Type="http://schemas.openxmlformats.org/officeDocument/2006/relationships/image" Target="/xl/media/image21.jpg" Id="Rfa687d703ddc4be6" /><Relationship Type="http://schemas.openxmlformats.org/officeDocument/2006/relationships/image" Target="/xl/media/image22.jpg" Id="Ra55fb71169314a7e" /><Relationship Type="http://schemas.openxmlformats.org/officeDocument/2006/relationships/image" Target="/xl/media/image23.jpg" Id="Raf5c8e88898e463a" /><Relationship Type="http://schemas.openxmlformats.org/officeDocument/2006/relationships/image" Target="/xl/media/image24.jpg" Id="R5d43bf3098d94a4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25.jpg" Id="R3e370eecd1274c49" /><Relationship Type="http://schemas.openxmlformats.org/officeDocument/2006/relationships/image" Target="/xl/media/image26.jpg" Id="Ra5d2d96fae95453f" /><Relationship Type="http://schemas.openxmlformats.org/officeDocument/2006/relationships/image" Target="/xl/media/image27.jpg" Id="R2ff42affab754f48" /><Relationship Type="http://schemas.openxmlformats.org/officeDocument/2006/relationships/image" Target="/xl/media/image28.jpg" Id="Reeb623da983a42c2" /><Relationship Type="http://schemas.openxmlformats.org/officeDocument/2006/relationships/image" Target="/xl/media/image29.jpg" Id="R5fe5f968f05b4a5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0.jpg" Id="R13dd92c6232344c6" /><Relationship Type="http://schemas.openxmlformats.org/officeDocument/2006/relationships/image" Target="/xl/media/image31.jpg" Id="R6514a86ad1ae4df5" /><Relationship Type="http://schemas.openxmlformats.org/officeDocument/2006/relationships/image" Target="/xl/media/image32.jpg" Id="Rbf16d8abcf904496" /><Relationship Type="http://schemas.openxmlformats.org/officeDocument/2006/relationships/image" Target="/xl/media/image33.jpg" Id="R77d7c578e9294558" /><Relationship Type="http://schemas.openxmlformats.org/officeDocument/2006/relationships/image" Target="/xl/media/image34.jpg" Id="Rf4165dc838c3436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5.jpg" Id="R9a7153b435ac4555" /><Relationship Type="http://schemas.openxmlformats.org/officeDocument/2006/relationships/image" Target="/xl/media/image36.jpg" Id="Rfa4bac2b33c441de" /><Relationship Type="http://schemas.openxmlformats.org/officeDocument/2006/relationships/image" Target="/xl/media/image37.jpg" Id="R005b3f69dbb446c7" /><Relationship Type="http://schemas.openxmlformats.org/officeDocument/2006/relationships/image" Target="/xl/media/image38.jpg" Id="Rfbb751718ac7493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9.jpg" Id="R3844942471c2409b" /><Relationship Type="http://schemas.openxmlformats.org/officeDocument/2006/relationships/image" Target="/xl/media/image40.jpg" Id="R94a4cc5748b6438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41.jpg" Id="R7e046700ac3f4fc6" /><Relationship Type="http://schemas.openxmlformats.org/officeDocument/2006/relationships/image" Target="/xl/media/image42.jpg" Id="R21ec524193f947de" /><Relationship Type="http://schemas.openxmlformats.org/officeDocument/2006/relationships/image" Target="/xl/media/image43.jpg" Id="Re676cad9407d444e" /><Relationship Type="http://schemas.openxmlformats.org/officeDocument/2006/relationships/image" Target="/xl/media/image44.jpg" Id="R69be92295ff142d2" /><Relationship Type="http://schemas.openxmlformats.org/officeDocument/2006/relationships/image" Target="/xl/media/image45.jpg" Id="Rbea12a9175e4493a" /><Relationship Type="http://schemas.openxmlformats.org/officeDocument/2006/relationships/image" Target="/xl/media/image46.jpg" Id="Rd045f5016fbb4812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.png" Id="Rf037787f974b4608" /><Relationship Type="http://schemas.openxmlformats.org/officeDocument/2006/relationships/image" Target="/xl/media/image2.png" Id="Re0f48af3e23348f7" /><Relationship Type="http://schemas.openxmlformats.org/officeDocument/2006/relationships/image" Target="/xl/media/image3.png" Id="Rb467af930706437f" /><Relationship Type="http://schemas.openxmlformats.org/officeDocument/2006/relationships/image" Target="/xl/media/image4.png" Id="R185d9cfbaa534899" /><Relationship Type="http://schemas.openxmlformats.org/officeDocument/2006/relationships/image" Target="/xl/media/image5.png" Id="R32e313628ac247f6" /><Relationship Type="http://schemas.openxmlformats.org/officeDocument/2006/relationships/image" Target="/xl/media/image47.jpg" Id="R79ea800a9a2a4d65" /></Relationships>
</file>

<file path=xl/drawings/drawing1.xml><?xml version="1.0" encoding="utf-8"?>
<xdr:wsDr xmlns:xdr="http://schemas.openxmlformats.org/drawingml/2006/spreadsheetDrawing">
  <xdr:oneCellAnchor>
    <xdr:from>
      <xdr:col>1</xdr:col>
      <xdr:colOff>47625</xdr:colOff>
      <xdr:row>6</xdr:row>
      <xdr:rowOff>47625</xdr:rowOff>
    </xdr:from>
    <xdr:ext cx="1104900" cy="685800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dc7e2958394f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104900" cy="685800"/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aa1495a79546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9</xdr:row>
      <xdr:rowOff>47625</xdr:rowOff>
    </xdr:from>
    <xdr:ext cx="1104900" cy="685800"/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564e22d15d4c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11</xdr:row>
      <xdr:rowOff>47625</xdr:rowOff>
    </xdr:from>
    <xdr:ext cx="1104900" cy="685800"/>
    <xdr:pic>
      <xdr:nvPicPr>
        <xdr:cNvPr id="4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48f9349d034f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13</xdr:row>
      <xdr:rowOff>47625</xdr:rowOff>
    </xdr:from>
    <xdr:ext cx="1104900" cy="685800"/>
    <xdr:pic>
      <xdr:nvPicPr>
        <xdr:cNvPr id="5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4d10faf28941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15</xdr:row>
      <xdr:rowOff>47625</xdr:rowOff>
    </xdr:from>
    <xdr:ext cx="1104900" cy="685800"/>
    <xdr:pic>
      <xdr:nvPicPr>
        <xdr:cNvPr id="6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a2ffd1920844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17</xdr:row>
      <xdr:rowOff>47625</xdr:rowOff>
    </xdr:from>
    <xdr:ext cx="1104900" cy="685800"/>
    <xdr:pic>
      <xdr:nvPicPr>
        <xdr:cNvPr id="7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fe03a491149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19</xdr:row>
      <xdr:rowOff>47625</xdr:rowOff>
    </xdr:from>
    <xdr:ext cx="1104900" cy="685800"/>
    <xdr:pic>
      <xdr:nvPicPr>
        <xdr:cNvPr id="8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bffd784d86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47625</xdr:colOff>
      <xdr:row>6</xdr:row>
      <xdr:rowOff>47625</xdr:rowOff>
    </xdr:from>
    <xdr:ext cx="1104900" cy="685800"/>
    <xdr:pic>
      <xdr:nvPicPr>
        <xdr:cNvPr id="1" name="/xl/media/image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aa62f1d8e1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104900" cy="685800"/>
    <xdr:pic>
      <xdr:nvPicPr>
        <xdr:cNvPr id="2" name="/xl/media/image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36d645fef742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9</xdr:row>
      <xdr:rowOff>47625</xdr:rowOff>
    </xdr:from>
    <xdr:ext cx="1104900" cy="685800"/>
    <xdr:pic>
      <xdr:nvPicPr>
        <xdr:cNvPr id="3" name="/xl/media/image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0fdafa49ef47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10</xdr:row>
      <xdr:rowOff>47625</xdr:rowOff>
    </xdr:from>
    <xdr:ext cx="1104900" cy="685800"/>
    <xdr:pic>
      <xdr:nvPicPr>
        <xdr:cNvPr id="4" name="/xl/media/image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3bed1880184e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11</xdr:row>
      <xdr:rowOff>47625</xdr:rowOff>
    </xdr:from>
    <xdr:ext cx="1104900" cy="685800"/>
    <xdr:pic>
      <xdr:nvPicPr>
        <xdr:cNvPr id="5" name="/xl/media/image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a99ca1837c4f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12</xdr:row>
      <xdr:rowOff>47625</xdr:rowOff>
    </xdr:from>
    <xdr:ext cx="1104900" cy="685800"/>
    <xdr:pic>
      <xdr:nvPicPr>
        <xdr:cNvPr id="6" name="/xl/media/image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4e92db7bd74e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13</xdr:row>
      <xdr:rowOff>47625</xdr:rowOff>
    </xdr:from>
    <xdr:ext cx="1104900" cy="685800"/>
    <xdr:pic>
      <xdr:nvPicPr>
        <xdr:cNvPr id="7" name="/xl/media/image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0662d4c62d40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14</xdr:row>
      <xdr:rowOff>47625</xdr:rowOff>
    </xdr:from>
    <xdr:ext cx="1104900" cy="685800"/>
    <xdr:pic>
      <xdr:nvPicPr>
        <xdr:cNvPr id="8" name="/xl/media/image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373cca84e049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15</xdr:row>
      <xdr:rowOff>47625</xdr:rowOff>
    </xdr:from>
    <xdr:ext cx="1104900" cy="685800"/>
    <xdr:pic>
      <xdr:nvPicPr>
        <xdr:cNvPr id="9" name="/xl/media/image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6b12b1df664e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47625</xdr:colOff>
      <xdr:row>6</xdr:row>
      <xdr:rowOff>47625</xdr:rowOff>
    </xdr:from>
    <xdr:ext cx="1104900" cy="685800"/>
    <xdr:pic>
      <xdr:nvPicPr>
        <xdr:cNvPr id="1" name="/xl/media/image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1177c6059943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104900" cy="685800"/>
    <xdr:pic>
      <xdr:nvPicPr>
        <xdr:cNvPr id="2" name="/xl/media/image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5bc2c57a5b41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9</xdr:row>
      <xdr:rowOff>47625</xdr:rowOff>
    </xdr:from>
    <xdr:ext cx="1104900" cy="685800"/>
    <xdr:pic>
      <xdr:nvPicPr>
        <xdr:cNvPr id="3" name="/xl/media/image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72d2fd77fd4f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10</xdr:row>
      <xdr:rowOff>47625</xdr:rowOff>
    </xdr:from>
    <xdr:ext cx="1104900" cy="685800"/>
    <xdr:pic>
      <xdr:nvPicPr>
        <xdr:cNvPr id="4" name="/xl/media/image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687d703ddc4b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11</xdr:row>
      <xdr:rowOff>47625</xdr:rowOff>
    </xdr:from>
    <xdr:ext cx="1104900" cy="685800"/>
    <xdr:pic>
      <xdr:nvPicPr>
        <xdr:cNvPr id="5" name="/xl/media/image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5fb71169314a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13</xdr:row>
      <xdr:rowOff>47625</xdr:rowOff>
    </xdr:from>
    <xdr:ext cx="1104900" cy="685800"/>
    <xdr:pic>
      <xdr:nvPicPr>
        <xdr:cNvPr id="6" name="/xl/media/image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5c8e88898e46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14</xdr:row>
      <xdr:rowOff>47625</xdr:rowOff>
    </xdr:from>
    <xdr:ext cx="1104900" cy="685800"/>
    <xdr:pic>
      <xdr:nvPicPr>
        <xdr:cNvPr id="7" name="/xl/media/image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43bf3098d94a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47625</xdr:colOff>
      <xdr:row>6</xdr:row>
      <xdr:rowOff>47625</xdr:rowOff>
    </xdr:from>
    <xdr:ext cx="1104900" cy="685800"/>
    <xdr:pic>
      <xdr:nvPicPr>
        <xdr:cNvPr id="1" name="/xl/media/image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370eecd1274c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104900" cy="685800"/>
    <xdr:pic>
      <xdr:nvPicPr>
        <xdr:cNvPr id="2" name="/xl/media/image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d2d96fae9545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9</xdr:row>
      <xdr:rowOff>47625</xdr:rowOff>
    </xdr:from>
    <xdr:ext cx="1104900" cy="685800"/>
    <xdr:pic>
      <xdr:nvPicPr>
        <xdr:cNvPr id="3" name="/xl/media/image2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f42affab754f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10</xdr:row>
      <xdr:rowOff>47625</xdr:rowOff>
    </xdr:from>
    <xdr:ext cx="1104900" cy="685800"/>
    <xdr:pic>
      <xdr:nvPicPr>
        <xdr:cNvPr id="4" name="/xl/media/image2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b623da983a42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12</xdr:row>
      <xdr:rowOff>47625</xdr:rowOff>
    </xdr:from>
    <xdr:ext cx="1104900" cy="685800"/>
    <xdr:pic>
      <xdr:nvPicPr>
        <xdr:cNvPr id="5" name="/xl/media/image2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e5f968f05b4a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47625</xdr:colOff>
      <xdr:row>6</xdr:row>
      <xdr:rowOff>47625</xdr:rowOff>
    </xdr:from>
    <xdr:ext cx="1104900" cy="685800"/>
    <xdr:pic>
      <xdr:nvPicPr>
        <xdr:cNvPr id="1" name="/xl/media/image3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d92c6232344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104900" cy="685800"/>
    <xdr:pic>
      <xdr:nvPicPr>
        <xdr:cNvPr id="2" name="/xl/media/image3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14a86ad1ae4d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9</xdr:row>
      <xdr:rowOff>47625</xdr:rowOff>
    </xdr:from>
    <xdr:ext cx="1104900" cy="685800"/>
    <xdr:pic>
      <xdr:nvPicPr>
        <xdr:cNvPr id="3" name="/xl/media/image3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16d8abcf9044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10</xdr:row>
      <xdr:rowOff>47625</xdr:rowOff>
    </xdr:from>
    <xdr:ext cx="1104900" cy="685800"/>
    <xdr:pic>
      <xdr:nvPicPr>
        <xdr:cNvPr id="4" name="/xl/media/image3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d7c578e929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12</xdr:row>
      <xdr:rowOff>47625</xdr:rowOff>
    </xdr:from>
    <xdr:ext cx="1104900" cy="685800"/>
    <xdr:pic>
      <xdr:nvPicPr>
        <xdr:cNvPr id="5" name="/xl/media/image3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165dc838c343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</xdr:col>
      <xdr:colOff>47625</xdr:colOff>
      <xdr:row>6</xdr:row>
      <xdr:rowOff>47625</xdr:rowOff>
    </xdr:from>
    <xdr:ext cx="1104900" cy="685800"/>
    <xdr:pic>
      <xdr:nvPicPr>
        <xdr:cNvPr id="1" name="/xl/media/image3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7153b435ac45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104900" cy="685800"/>
    <xdr:pic>
      <xdr:nvPicPr>
        <xdr:cNvPr id="2" name="/xl/media/image3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4bac2b33c441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9</xdr:row>
      <xdr:rowOff>47625</xdr:rowOff>
    </xdr:from>
    <xdr:ext cx="1104900" cy="685800"/>
    <xdr:pic>
      <xdr:nvPicPr>
        <xdr:cNvPr id="3" name="/xl/media/image3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5b3f69dbb446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10</xdr:row>
      <xdr:rowOff>47625</xdr:rowOff>
    </xdr:from>
    <xdr:ext cx="1104900" cy="685800"/>
    <xdr:pic>
      <xdr:nvPicPr>
        <xdr:cNvPr id="4" name="/xl/media/image3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b751718ac749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</xdr:col>
      <xdr:colOff>47625</xdr:colOff>
      <xdr:row>6</xdr:row>
      <xdr:rowOff>47625</xdr:rowOff>
    </xdr:from>
    <xdr:ext cx="1104900" cy="685800"/>
    <xdr:pic>
      <xdr:nvPicPr>
        <xdr:cNvPr id="1" name="/xl/media/image3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44942471c240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104900" cy="685800"/>
    <xdr:pic>
      <xdr:nvPicPr>
        <xdr:cNvPr id="2" name="/xl/media/image4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a4cc5748b643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</xdr:col>
      <xdr:colOff>47625</xdr:colOff>
      <xdr:row>6</xdr:row>
      <xdr:rowOff>47625</xdr:rowOff>
    </xdr:from>
    <xdr:ext cx="1104900" cy="685800"/>
    <xdr:pic>
      <xdr:nvPicPr>
        <xdr:cNvPr id="1" name="/xl/media/image4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046700ac3f4f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7</xdr:row>
      <xdr:rowOff>47625</xdr:rowOff>
    </xdr:from>
    <xdr:ext cx="1104900" cy="685800"/>
    <xdr:pic>
      <xdr:nvPicPr>
        <xdr:cNvPr id="2" name="/xl/media/image4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c524193f947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104900" cy="685800"/>
    <xdr:pic>
      <xdr:nvPicPr>
        <xdr:cNvPr id="3" name="/xl/media/image4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76cad9407d44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9</xdr:row>
      <xdr:rowOff>47625</xdr:rowOff>
    </xdr:from>
    <xdr:ext cx="1104900" cy="685800"/>
    <xdr:pic>
      <xdr:nvPicPr>
        <xdr:cNvPr id="4" name="/xl/media/image4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e92295ff142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10</xdr:row>
      <xdr:rowOff>47625</xdr:rowOff>
    </xdr:from>
    <xdr:ext cx="1104900" cy="685800"/>
    <xdr:pic>
      <xdr:nvPicPr>
        <xdr:cNvPr id="5" name="/xl/media/image4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a12a9175e449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11</xdr:row>
      <xdr:rowOff>47625</xdr:rowOff>
    </xdr:from>
    <xdr:ext cx="1104900" cy="685800"/>
    <xdr:pic>
      <xdr:nvPicPr>
        <xdr:cNvPr id="6" name="/xl/media/image4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45f5016fbb48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</xdr:col>
      <xdr:colOff>47625</xdr:colOff>
      <xdr:row>6</xdr:row>
      <xdr:rowOff>47625</xdr:rowOff>
    </xdr:from>
    <xdr:ext cx="1104900" cy="6858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37787f974b46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7</xdr:row>
      <xdr:rowOff>47625</xdr:rowOff>
    </xdr:from>
    <xdr:ext cx="1104900" cy="6858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f48af3e23348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104900" cy="6858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67af93070643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9</xdr:row>
      <xdr:rowOff>47625</xdr:rowOff>
    </xdr:from>
    <xdr:ext cx="1104900" cy="6858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5d9cfbaa5348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11</xdr:row>
      <xdr:rowOff>47625</xdr:rowOff>
    </xdr:from>
    <xdr:ext cx="1104900" cy="6858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e313628ac247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13</xdr:row>
      <xdr:rowOff>47625</xdr:rowOff>
    </xdr:from>
    <xdr:ext cx="1104900" cy="685800"/>
    <xdr:pic>
      <xdr:nvPicPr>
        <xdr:cNvPr id="6" name="/xl/media/image4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ea800a9a2a4d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4eba89c93f046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b3849c36a5a42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f4bdb0f230b4c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7517a66207148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6d891c1074f34a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098056241ae944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48e97bcb51884a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ec60742166fa4f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f9d95ec07e8e4577" /></Relationships>
</file>

<file path=xl/worksheets/sheet1.xml><?xml version="1.0" encoding="utf-8"?>
<x:worksheet xmlns:x="http://schemas.openxmlformats.org/spreadsheetml/2006/main">
  <x:sheetPr>
    <x:tabColor rgb="FF173F35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6.5" hidden="0" customWidth="1"/>
    <x:col min="2" max="2" width="18.75" hidden="0" customWidth="1"/>
    <x:col min="3" max="3" width="35" hidden="0" customWidth="1"/>
    <x:col min="4" max="4" width="13.130000114440918" hidden="0" customWidth="1"/>
    <x:col min="5" max="5" width="11.880000114440918" hidden="0" customWidth="1"/>
    <x:col min="6" max="6" width="10.630000114440918" hidden="0" customWidth="1"/>
    <x:col min="7" max="7" width="13.75" hidden="0" customWidth="1"/>
    <x:col min="8" max="8" width="22.5" hidden="0" customWidth="1"/>
    <x:col min="9" max="9" width="26.25" hidden="0" customWidth="1"/>
  </x:cols>
  <x:sheetData>
    <x:row r="1" ht="37.5" customHeight="1">
      <x:c r="A1" s="40" t="str">
        <x:v>LAKA HOMESTAY · ASSET ORDER CHỐT</x:v>
      </x:c>
      <x:c r="B1" s="40"/>
      <x:c r="C1" s="40"/>
      <x:c r="D1" s="40"/>
      <x:c r="E1" s="40"/>
      <x:c r="F1" s="40"/>
      <x:c r="G1" s="40"/>
      <x:c r="H1" s="40"/>
      <x:c r="I1" s="40"/>
    </x:row>
    <x:row r="2" ht="21" customHeight="1">
      <x:c r="A2" s="41" t="str">
        <x:v>Danh sách ảnh cần chuẩn bị cho máy tính và điện thoại. Mỗi ảnh gốc chỉ tính một lần.</x:v>
      </x:c>
      <x:c r="B2" s="41"/>
      <x:c r="C2" s="41"/>
      <x:c r="D2" s="41"/>
      <x:c r="E2" s="41"/>
      <x:c r="F2" s="41"/>
      <x:c r="G2" s="41"/>
      <x:c r="H2" s="41"/>
      <x:c r="I2" s="41"/>
    </x:row>
    <x:row r="4" ht="22.5" customHeight="1">
      <x:c r="A4" s="49" t="str">
        <x:v>ẢNH GỐC CẦN CHỤP</x:v>
      </x:c>
      <x:c r="B4" s="50"/>
      <x:c r="C4" s="49" t="str">
        <x:v>ĐỒ HỌA BẢN ĐỒ</x:v>
      </x:c>
      <x:c r="D4" s="50"/>
      <x:c r="E4" s="49" t="str">
        <x:v>MENU CẦN TỐI ƯU</x:v>
      </x:c>
      <x:c r="F4" s="50"/>
      <x:c r="G4" s="49" t="str">
        <x:v>ẢNH CHỤP RIÊNG CHO ĐIỆN THOẠI</x:v>
      </x:c>
      <x:c r="H4" s="67"/>
      <x:c r="I4" s="50"/>
    </x:row>
    <x:row r="5" ht="22.5" customHeight="1">
      <x:c r="A5" s="60" t="n">
        <x:f>'01_Trang_Chu'!E22+'02_Luu_Tru'!E18+'03_Trai_Nghiem'!E17+'04_Am_Thuc'!E15+'05_Dich_Vu'!E15+'06_Ve_LAKA'!E13+'07_Di_Chuyen'!E11+'08_Thong_Tin_Phap_Ly'!E14+'09_Brand_SEO'!E16</x:f>
        <x:v>45</x:v>
      </x:c>
      <x:c r="B5" s="61"/>
      <x:c r="C5" s="60" t="n">
        <x:f>SUMIFS('07_Di_Chuyen'!$E$6:$E$9,'07_Di_Chuyen'!$H$6:$H$9,"Cần thiết kế")</x:f>
        <x:v>1</x:v>
      </x:c>
      <x:c r="D5" s="61"/>
      <x:c r="E5" s="60" t="n">
        <x:f>SUMIFS('04_Am_Thuc'!$E$6:$E$13,'04_Am_Thuc'!$H$6:$H$13,"Có sẵn · cần tối ưu")</x:f>
        <x:v>10</x:v>
      </x:c>
      <x:c r="F5" s="61"/>
      <x:c r="G5" s="60" t="n">
        <x:f>0</x:f>
        <x:v>0</x:v>
      </x:c>
      <x:c r="H5" s="72"/>
      <x:c r="I5" s="61"/>
    </x:row>
    <x:row r="6" ht="22.5" customHeight="1">
      <x:c r="A6" s="62"/>
      <x:c r="B6" s="63"/>
      <x:c r="C6" s="62"/>
      <x:c r="D6" s="63"/>
      <x:c r="E6" s="62"/>
      <x:c r="F6" s="63"/>
      <x:c r="G6" s="62"/>
      <x:c r="H6" s="73"/>
      <x:c r="I6" s="63"/>
    </x:row>
    <x:row r="8" ht="25.5" customHeight="1">
      <x:c r="A8" s="78" t="str">
        <x:v>STT</x:v>
      </x:c>
      <x:c r="B8" s="78" t="str">
        <x:v>PAGE / NHÓM</x:v>
      </x:c>
      <x:c r="C8" s="78" t="str">
        <x:v>PHẠM VI</x:v>
      </x:c>
      <x:c r="D8" s="78" t="str">
        <x:v>ẢNH CHỤP MỚI</x:v>
      </x:c>
      <x:c r="E8" s="78" t="str">
        <x:v>FILE KHÁC</x:v>
      </x:c>
      <x:c r="F8" s="78" t="str">
        <x:v>MÁY TÍNH</x:v>
      </x:c>
      <x:c r="G8" s="78" t="str">
        <x:v>ĐIỆN THOẠI</x:v>
      </x:c>
      <x:c r="H8" s="78" t="str">
        <x:v>NGUYÊN TẮC</x:v>
      </x:c>
      <x:c r="I8" s="78" t="str">
        <x:v>GHI CHÚ</x:v>
      </x:c>
    </x:row>
    <x:row r="9" ht="39" customHeight="1">
      <x:c r="A9" s="11" t="n">
        <x:v>1</x:v>
      </x:c>
      <x:c r="B9" s="12" t="str">
        <x:v>TRANG CHỦ</x:v>
      </x:c>
      <x:c r="C9" s="10" t="str">
        <x:v>/ · /en</x:v>
      </x:c>
      <x:c r="D9" s="11" t="n">
        <x:f>'01_Trang_Chu'!E22</x:f>
        <x:v>1</x:v>
      </x:c>
      <x:c r="E9" s="11" t="n">
        <x:f>'01_Trang_Chu'!E23</x:f>
        <x:v>0</x:v>
      </x:c>
      <x:c r="F9" s="11" t="str">
        <x:v>Có</x:v>
      </x:c>
      <x:c r="G9" s="11" t="str">
        <x:v>Có</x:v>
      </x:c>
      <x:c r="H9" s="10" t="str">
        <x:v>Dùng cùng một ảnh gốc</x:v>
      </x:c>
      <x:c r="I9" s="10" t="str"/>
    </x:row>
    <x:row r="10" ht="39" customHeight="1">
      <x:c r="A10" s="18" t="n">
        <x:v>2</x:v>
      </x:c>
      <x:c r="B10" s="19" t="str">
        <x:v>LƯU TRÚ</x:v>
      </x:c>
      <x:c r="C10" s="17" t="str">
        <x:v>/luu-tru · 8 trang chi tiết · bản /en</x:v>
      </x:c>
      <x:c r="D10" s="18" t="n">
        <x:f>'02_Luu_Tru'!E18</x:f>
        <x:v>32</x:v>
      </x:c>
      <x:c r="E10" s="18" t="n">
        <x:f>'02_Luu_Tru'!E19</x:f>
        <x:v>0</x:v>
      </x:c>
      <x:c r="F10" s="18" t="str">
        <x:v>Có</x:v>
      </x:c>
      <x:c r="G10" s="18" t="str">
        <x:v>Có</x:v>
      </x:c>
      <x:c r="H10" s="17" t="str">
        <x:v>Dùng cùng một ảnh gốc</x:v>
      </x:c>
      <x:c r="I10" s="17" t="str"/>
    </x:row>
    <x:row r="11" ht="39" customHeight="1">
      <x:c r="A11" s="11" t="n">
        <x:v>3</x:v>
      </x:c>
      <x:c r="B11" s="12" t="str">
        <x:v>TRẢI NGHIỆM</x:v>
      </x:c>
      <x:c r="C11" s="10" t="str">
        <x:v>/trai-nghiem · /en/experiences</x:v>
      </x:c>
      <x:c r="D11" s="11" t="n">
        <x:f>'03_Trai_Nghiem'!E17</x:f>
        <x:v>6</x:v>
      </x:c>
      <x:c r="E11" s="11" t="n">
        <x:f>'03_Trai_Nghiem'!E18</x:f>
        <x:v>0</x:v>
      </x:c>
      <x:c r="F11" s="11" t="str">
        <x:v>Có</x:v>
      </x:c>
      <x:c r="G11" s="11" t="str">
        <x:v>Có</x:v>
      </x:c>
      <x:c r="H11" s="10" t="str">
        <x:v>Dùng cùng một ảnh gốc</x:v>
      </x:c>
      <x:c r="I11" s="10" t="str"/>
    </x:row>
    <x:row r="12" ht="39" customHeight="1">
      <x:c r="A12" s="18" t="n">
        <x:v>4</x:v>
      </x:c>
      <x:c r="B12" s="19" t="str">
        <x:v>ẨM THỰC</x:v>
      </x:c>
      <x:c r="C12" s="17" t="str">
        <x:v>/am-thuc · /en/dining</x:v>
      </x:c>
      <x:c r="D12" s="18" t="n">
        <x:f>'04_Am_Thuc'!E15</x:f>
        <x:v>3</x:v>
      </x:c>
      <x:c r="E12" s="18" t="n">
        <x:f>'04_Am_Thuc'!E16</x:f>
        <x:v>10</x:v>
      </x:c>
      <x:c r="F12" s="18" t="str">
        <x:v>Có</x:v>
      </x:c>
      <x:c r="G12" s="18" t="str">
        <x:v>Có</x:v>
      </x:c>
      <x:c r="H12" s="17" t="str">
        <x:v>Dùng cùng một ảnh gốc</x:v>
      </x:c>
      <x:c r="I12" s="17" t="str"/>
    </x:row>
    <x:row r="13" ht="39" customHeight="1">
      <x:c r="A13" s="11" t="n">
        <x:v>5</x:v>
      </x:c>
      <x:c r="B13" s="12" t="str">
        <x:v>DỊCH VỤ</x:v>
      </x:c>
      <x:c r="C13" s="10" t="str">
        <x:v>/dich-vu · /en/services</x:v>
      </x:c>
      <x:c r="D13" s="11" t="n">
        <x:f>'05_Dich_Vu'!E15</x:f>
        <x:v>3</x:v>
      </x:c>
      <x:c r="E13" s="11" t="n">
        <x:f>'05_Dich_Vu'!E16</x:f>
        <x:v>0</x:v>
      </x:c>
      <x:c r="F13" s="11" t="str">
        <x:v>Có</x:v>
      </x:c>
      <x:c r="G13" s="11" t="str">
        <x:v>Có</x:v>
      </x:c>
      <x:c r="H13" s="10" t="str">
        <x:v>Dùng cùng một ảnh gốc</x:v>
      </x:c>
      <x:c r="I13" s="10" t="str"/>
    </x:row>
    <x:row r="14" ht="39" customHeight="1">
      <x:c r="A14" s="18" t="n">
        <x:v>6</x:v>
      </x:c>
      <x:c r="B14" s="19" t="str">
        <x:v>VỀ LAKA</x:v>
      </x:c>
      <x:c r="C14" s="17" t="str">
        <x:v>/ve-laka · /en/about</x:v>
      </x:c>
      <x:c r="D14" s="18" t="n">
        <x:f>'06_Ve_LAKA'!E13</x:f>
        <x:v>0</x:v>
      </x:c>
      <x:c r="E14" s="18" t="n">
        <x:f>'06_Ve_LAKA'!E14</x:f>
        <x:v>0</x:v>
      </x:c>
      <x:c r="F14" s="18" t="str">
        <x:v>Có</x:v>
      </x:c>
      <x:c r="G14" s="18" t="str">
        <x:v>Có</x:v>
      </x:c>
      <x:c r="H14" s="17" t="str">
        <x:v>Dùng cùng một ảnh gốc</x:v>
      </x:c>
      <x:c r="I14" s="17" t="str"/>
    </x:row>
    <x:row r="15" ht="39" customHeight="1">
      <x:c r="A15" s="11" t="n">
        <x:v>7</x:v>
      </x:c>
      <x:c r="B15" s="12" t="str">
        <x:v>DI CHUYỂN</x:v>
      </x:c>
      <x:c r="C15" s="10" t="str">
        <x:v>/di-chuyen · /en/directions</x:v>
      </x:c>
      <x:c r="D15" s="11" t="n">
        <x:f>'07_Di_Chuyen'!E11</x:f>
        <x:v>0</x:v>
      </x:c>
      <x:c r="E15" s="11" t="n">
        <x:f>'07_Di_Chuyen'!E12</x:f>
        <x:v>1</x:v>
      </x:c>
      <x:c r="F15" s="11" t="str">
        <x:v>Có</x:v>
      </x:c>
      <x:c r="G15" s="11" t="str">
        <x:v>Có</x:v>
      </x:c>
      <x:c r="H15" s="10" t="str">
        <x:v>Dùng cùng một ảnh gốc</x:v>
      </x:c>
      <x:c r="I15" s="10" t="str"/>
    </x:row>
    <x:row r="16" ht="39" customHeight="1">
      <x:c r="A16" s="18" t="n">
        <x:v>8</x:v>
      </x:c>
      <x:c r="B16" s="19" t="str">
        <x:v>THÔNG TIN &amp; PHÁP LÝ</x:v>
      </x:c>
      <x:c r="C16" s="17" t="str">
        <x:v>6 trang VI · 6 trang EN</x:v>
      </x:c>
      <x:c r="D16" s="18" t="n">
        <x:f>'08_Thong_Tin_Phap_Ly'!E14</x:f>
        <x:v>0</x:v>
      </x:c>
      <x:c r="E16" s="18" t="n">
        <x:f>'08_Thong_Tin_Phap_Ly'!E15</x:f>
        <x:v>0</x:v>
      </x:c>
      <x:c r="F16" s="18" t="str">
        <x:v>Có</x:v>
      </x:c>
      <x:c r="G16" s="18" t="str">
        <x:v>Có</x:v>
      </x:c>
      <x:c r="H16" s="17" t="str">
        <x:v>Dùng cùng một ảnh gốc</x:v>
      </x:c>
      <x:c r="I16" s="17" t="str"/>
    </x:row>
    <x:row r="17" ht="39" customHeight="1">
      <x:c r="A17" s="11" t="n">
        <x:v>9</x:v>
      </x:c>
      <x:c r="B17" s="12" t="str">
        <x:v>BRAND &amp; SEO</x:v>
      </x:c>
      <x:c r="C17" s="10" t="str">
        <x:v>Tài nguyên dùng toàn website</x:v>
      </x:c>
      <x:c r="D17" s="11" t="n">
        <x:f>'09_Brand_SEO'!E16</x:f>
        <x:v>0</x:v>
      </x:c>
      <x:c r="E17" s="11" t="n">
        <x:f>'09_Brand_SEO'!E17</x:f>
        <x:v>2</x:v>
      </x:c>
      <x:c r="F17" s="11" t="str">
        <x:v>Có</x:v>
      </x:c>
      <x:c r="G17" s="11" t="str">
        <x:v>Có</x:v>
      </x:c>
      <x:c r="H17" s="10" t="str">
        <x:v>Dùng cùng một ảnh gốc</x:v>
      </x:c>
      <x:c r="I17" s="10" t="str"/>
    </x:row>
    <x:row r="18" ht="25.5" customHeight="1">
      <x:c r="A18" s="80" t="str">
        <x:v>TỔNG</x:v>
      </x:c>
      <x:c r="B18" s="80"/>
      <x:c r="C18" s="80"/>
      <x:c r="D18" s="81" t="n">
        <x:f>SUM(D9:D17)</x:f>
        <x:v>45</x:v>
      </x:c>
      <x:c r="E18" s="81" t="n">
        <x:f>SUM(E9:E17)</x:f>
        <x:v>13</x:v>
      </x:c>
      <x:c r="F18" s="80" t="str">
        <x:v>Chốt 45 ảnh gốc. Không phải chụp bộ ảnh riêng cho điện thoại.</x:v>
      </x:c>
      <x:c r="G18" s="80"/>
      <x:c r="H18" s="80"/>
      <x:c r="I18" s="80"/>
    </x:row>
    <x:row r="20" ht="21" customHeight="1">
      <x:c r="A20" s="82" t="str">
        <x:v>QUY CHUẨN BÀN GIAO</x:v>
      </x:c>
      <x:c r="B20" s="82"/>
      <x:c r="C20" s="82"/>
      <x:c r="D20" s="82"/>
      <x:c r="E20" s="82"/>
      <x:c r="F20" s="82"/>
      <x:c r="G20" s="82"/>
      <x:c r="H20" s="82"/>
      <x:c r="I20" s="82"/>
    </x:row>
    <x:row r="21" ht="25.5" customHeight="1">
      <x:c r="A21" s="11" t="str">
        <x:v>1</x:v>
      </x:c>
      <x:c r="B21" s="12" t="str">
        <x:v>Cách tính số lượng</x:v>
      </x:c>
      <x:c r="C21" s="10"/>
      <x:c r="D21" s="10" t="str">
        <x:v>Một ảnh gốc dùng cho cả máy tính và điện thoại vẫn tính là 1 ảnh.</x:v>
      </x:c>
      <x:c r="E21" s="10"/>
      <x:c r="F21" s="10"/>
      <x:c r="G21" s="10"/>
      <x:c r="H21" s="10"/>
      <x:c r="I21" s="10"/>
    </x:row>
    <x:row r="22" ht="25.5" customHeight="1">
      <x:c r="A22" s="18" t="str">
        <x:v>2</x:v>
      </x:c>
      <x:c r="B22" s="19" t="str">
        <x:v>File ảnh gốc</x:v>
      </x:c>
      <x:c r="C22" s="17"/>
      <x:c r="D22" s="17" t="str">
        <x:v>Dùng hệ màu sRGB. Giao file JPG chất lượng cao, không chèn logo hoặc chữ vào ảnh gốc.</x:v>
      </x:c>
      <x:c r="E22" s="17"/>
      <x:c r="F22" s="17"/>
      <x:c r="G22" s="17"/>
      <x:c r="H22" s="17"/>
      <x:c r="I22" s="17"/>
    </x:row>
    <x:row r="23" ht="25.5" customHeight="1">
      <x:c r="A23" s="11" t="str">
        <x:v>3</x:v>
      </x:c>
      <x:c r="B23" s="12" t="str">
        <x:v>Dung lượng ảnh web</x:v>
      </x:c>
      <x:c r="C23" s="10"/>
      <x:c r="D23" s="10" t="str">
        <x:v>Ảnh đầu trang tối đa 500 KB. Ảnh thẻ và thư viện tối đa 250 KB. Menu tối đa 500 KB mỗi file.</x:v>
      </x:c>
      <x:c r="E23" s="10"/>
      <x:c r="F23" s="10"/>
      <x:c r="G23" s="10"/>
      <x:c r="H23" s="10"/>
      <x:c r="I23" s="10"/>
    </x:row>
    <x:row r="24" ht="25.5" customHeight="1">
      <x:c r="A24" s="18" t="str">
        <x:v>4</x:v>
      </x:c>
      <x:c r="B24" s="19" t="str">
        <x:v>Cách chụp</x:v>
      </x:c>
      <x:c r="C24" s="17"/>
      <x:c r="D24" s="17" t="str">
        <x:v>Đặt người hoặc vật chính gần giữa khung hình và chừa khoảng trống để dễ cắt ảnh ngang, ảnh dọc.</x:v>
      </x:c>
      <x:c r="E24" s="17"/>
      <x:c r="F24" s="17"/>
      <x:c r="G24" s="17"/>
      <x:c r="H24" s="17"/>
      <x:c r="I24" s="17"/>
    </x:row>
    <x:row r="25" ht="25.5" customHeight="1">
      <x:c r="A25" s="11" t="str">
        <x:v>5</x:v>
      </x:c>
      <x:c r="B25" s="12" t="str">
        <x:v>Quyền sử dụng</x:v>
      </x:c>
      <x:c r="C25" s="10"/>
      <x:c r="D25" s="10" t="str">
        <x:v>Chỉ dùng hình khách hoặc nhân sự khi đã được đồng ý cho đăng trên website.</x:v>
      </x:c>
      <x:c r="E25" s="10"/>
      <x:c r="F25" s="10"/>
      <x:c r="G25" s="10"/>
      <x:c r="H25" s="10"/>
      <x:c r="I25" s="10"/>
    </x:row>
    <x:row r="26" ht="25.5" customHeight="1">
      <x:c r="A26" s="18" t="str">
        <x:v>6</x:v>
      </x:c>
      <x:c r="B26" s="19" t="str">
        <x:v>Nội dung chưa xác nhận</x:v>
      </x:c>
      <x:c r="C26" s="17"/>
      <x:c r="D26" s="17" t="str">
        <x:v>Không đưa thông tin về sức chứa, tiện nghi hoặc đặc điểm phòng khi chủ vận hành chưa xác nhận.</x:v>
      </x:c>
      <x:c r="E26" s="17"/>
      <x:c r="F26" s="17"/>
      <x:c r="G26" s="17"/>
      <x:c r="H26" s="17"/>
      <x:c r="I26" s="17"/>
    </x:row>
  </x:sheetData>
  <x:mergeCells>
    <x:mergeCell ref="A1:I1"/>
    <x:mergeCell ref="A2:I2"/>
    <x:mergeCell ref="A4:B4"/>
    <x:mergeCell ref="A5:B6"/>
    <x:mergeCell ref="C4:D4"/>
    <x:mergeCell ref="C5:D6"/>
    <x:mergeCell ref="E4:F4"/>
    <x:mergeCell ref="E5:F6"/>
    <x:mergeCell ref="G4:I4"/>
    <x:mergeCell ref="G5:I6"/>
    <x:mergeCell ref="A18:C18"/>
    <x:mergeCell ref="F18:I18"/>
    <x:mergeCell ref="A20:I20"/>
    <x:mergeCell ref="B21:C21"/>
    <x:mergeCell ref="D21:I21"/>
    <x:mergeCell ref="B22:C22"/>
    <x:mergeCell ref="D22:I22"/>
    <x:mergeCell ref="B23:C23"/>
    <x:mergeCell ref="D23:I23"/>
    <x:mergeCell ref="B24:C24"/>
    <x:mergeCell ref="D24:I24"/>
    <x:mergeCell ref="B25:C25"/>
    <x:mergeCell ref="D25:I25"/>
    <x:mergeCell ref="B26:C26"/>
    <x:mergeCell ref="D26:I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9853E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5" hidden="0" customWidth="1"/>
    <x:col min="2" max="2" width="15.75" hidden="0" customWidth="1"/>
    <x:col min="3" max="3" width="43.75" hidden="0" customWidth="1"/>
    <x:col min="4" max="4" width="17.5" hidden="0" customWidth="1"/>
    <x:col min="5" max="5" width="8.75" hidden="0" customWidth="1"/>
    <x:col min="6" max="6" width="13.75" hidden="0" customWidth="1"/>
    <x:col min="7" max="7" width="48.75" hidden="0" customWidth="1"/>
    <x:col min="8" max="8" width="18.1299991607666" hidden="0" customWidth="1"/>
    <x:col min="9" max="9" width="26.25" hidden="0" customWidth="1"/>
  </x:cols>
  <x:sheetData>
    <x:row r="1" ht="33" customHeight="1">
      <x:c r="A1" s="30" t="str">
        <x:v>LAKA HOMESTAY · TRANG CHỦ</x:v>
      </x:c>
      <x:c r="B1" s="30"/>
      <x:c r="C1" s="30"/>
      <x:c r="D1" s="30"/>
      <x:c r="E1" s="30"/>
      <x:c r="F1" s="30"/>
      <x:c r="G1" s="30"/>
      <x:c r="H1" s="30"/>
      <x:c r="I1" s="30"/>
    </x:row>
    <x:row r="2" ht="19.5" customHeight="1">
      <x:c r="A2" s="25" t="str">
        <x:v>Phạm vi: / · /en</x:v>
      </x:c>
      <x:c r="B2" s="25"/>
      <x:c r="C2" s="25"/>
      <x:c r="D2" s="25"/>
      <x:c r="E2" s="25"/>
      <x:c r="F2" s="25"/>
      <x:c r="G2" s="25"/>
      <x:c r="H2" s="25"/>
      <x:c r="I2" s="25"/>
    </x:row>
    <x:row r="3" ht="21" customHeight="1">
      <x:c r="A3" s="32" t="str">
        <x:v>Cách đọc: Số lượng là số ảnh gốc cần chụp. Bản dùng cho máy tính và điện thoại được cắt từ cùng một ảnh gốc.</x:v>
      </x:c>
      <x:c r="B3" s="32"/>
      <x:c r="C3" s="32"/>
      <x:c r="D3" s="32"/>
      <x:c r="E3" s="32"/>
      <x:c r="F3" s="32"/>
      <x:c r="G3" s="32"/>
      <x:c r="H3" s="32"/>
      <x:c r="I3" s="32"/>
    </x:row>
    <x:row r="4" ht="21" customHeight="1">
      <x:c r="A4" s="38" t="str">
        <x:v>STT</x:v>
      </x:c>
      <x:c r="B4" s="38" t="str">
        <x:v>VỊ TRÍ (ẢNH + TÊN)</x:v>
      </x:c>
      <x:c r="C4" s="38"/>
      <x:c r="D4" s="38" t="str">
        <x:v>HẠNG MỤC</x:v>
      </x:c>
      <x:c r="E4" s="38" t="str">
        <x:v>SỐ LƯỢNG</x:v>
      </x:c>
      <x:c r="F4" s="38" t="str">
        <x:v>ĐỊNH DẠNG</x:v>
      </x:c>
      <x:c r="G4" s="38" t="str">
        <x:v>KÍCH THƯỚC ẢNH CẦN GIAO</x:v>
      </x:c>
      <x:c r="H4" s="38" t="str">
        <x:v>TRẠNG THÁI</x:v>
      </x:c>
      <x:c r="I4" s="38" t="str">
        <x:v>GHI CHÚ</x:v>
      </x:c>
    </x:row>
    <x:row r="5" ht="21" customHeight="1">
      <x:c r="A5" s="38"/>
      <x:c r="B5" s="38" t="str">
        <x:v>Ảnh UI</x:v>
      </x:c>
      <x:c r="C5" s="38" t="str">
        <x:v>Tên / vị trí</x:v>
      </x:c>
      <x:c r="D5" s="38"/>
      <x:c r="E5" s="38"/>
      <x:c r="F5" s="38"/>
      <x:c r="G5" s="38"/>
      <x:c r="H5" s="38"/>
      <x:c r="I5" s="38"/>
    </x:row>
    <x:row r="6" ht="18" customHeight="1">
      <x:c r="A6" s="3" t="str">
        <x:v>HERO</x:v>
      </x:c>
      <x:c r="B6" s="4"/>
      <x:c r="C6" s="4"/>
      <x:c r="D6" s="4"/>
      <x:c r="E6" s="4"/>
      <x:c r="F6" s="4"/>
      <x:c r="G6" s="4"/>
      <x:c r="H6" s="4"/>
      <x:c r="I6" s="5"/>
    </x:row>
    <x:row r="7" ht="73.5" customHeight="1">
      <x:c r="A7" s="11" t="n">
        <x:v>1</x:v>
      </x:c>
      <x:c r="B7" s="10" t="str"/>
      <x:c r="C7" s="12" t="str">
        <x:v>HOME-HERO-01 · Hero trang chủ</x:v>
      </x:c>
      <x:c r="D7" s="10" t="str">
        <x:v>Ảnh hero</x:v>
      </x:c>
      <x:c r="E7" s="11" t="n">
        <x:v>1</x:v>
      </x:c>
      <x:c r="F7" s="10" t="str">
        <x:v>JPG gốc + WebP</x:v>
      </x:c>
      <x:c r="G7" s="10" t="str">
        <x:v>Máy tính: ảnh ngang 2400 × 1350 pixel
Điện thoại: ảnh dọc 1600 × 2000 pixel
Cắt từ cùng một ảnh gốc</x:v>
      </x:c>
      <x:c r="H7" s="11" t="str">
        <x:v>Cần chụp</x:v>
      </x:c>
      <x:c r="I7" s="10" t="str"/>
    </x:row>
    <x:row r="8" ht="18" customHeight="1">
      <x:c r="A8" s="3" t="str">
        <x:v>CÂU CHUYỆN THƯƠNG HIỆU</x:v>
      </x:c>
      <x:c r="B8" s="4"/>
      <x:c r="C8" s="4"/>
      <x:c r="D8" s="4"/>
      <x:c r="E8" s="4"/>
      <x:c r="F8" s="4"/>
      <x:c r="G8" s="4"/>
      <x:c r="H8" s="4"/>
      <x:c r="I8" s="5"/>
    </x:row>
    <x:row r="9" ht="73.5" customHeight="1">
      <x:c r="A9" s="18" t="n">
        <x:v>2</x:v>
      </x:c>
      <x:c r="B9" s="17" t="str"/>
      <x:c r="C9" s="19" t="str">
        <x:v>HOME-STORY-01 · Ảnh chính</x:v>
      </x:c>
      <x:c r="D9" s="17" t="str">
        <x:v>Ảnh nội dung</x:v>
      </x:c>
      <x:c r="E9" s="18" t="n">
        <x:v>0</x:v>
      </x:c>
      <x:c r="F9" s="17" t="str">
        <x:v>WebP</x:v>
      </x:c>
      <x:c r="G9" s="17" t="str">
        <x:v>Máy tính: ảnh ngang 1760 × 1210 pixel
Điện thoại: ảnh ngang 1200 × 900 pixel
Cắt từ cùng một ảnh gốc</x:v>
      </x:c>
      <x:c r="H9" s="18" t="str">
        <x:v>Tái sử dụng</x:v>
      </x:c>
      <x:c r="I9" s="17" t="str"/>
    </x:row>
    <x:row r="10" ht="61.5" customHeight="1">
      <x:c r="A10" s="11" t="n">
        <x:v>3</x:v>
      </x:c>
      <x:c r="B10" s="10" t="str"/>
      <x:c r="C10" s="12" t="str">
        <x:v>HOME-STORY-02 · Ảnh phụ rừng thông</x:v>
      </x:c>
      <x:c r="D10" s="10" t="str">
        <x:v>Ảnh nội dung</x:v>
      </x:c>
      <x:c r="E10" s="11" t="n">
        <x:v>0</x:v>
      </x:c>
      <x:c r="F10" s="10" t="str">
        <x:v>WebP</x:v>
      </x:c>
      <x:c r="G10" s="10" t="str">
        <x:v>Máy tính: ảnh ngang 1200 × 900 pixel
Điện thoại: không dùng ảnh này</x:v>
      </x:c>
      <x:c r="H10" s="11" t="str">
        <x:v>Tái sử dụng</x:v>
      </x:c>
      <x:c r="I10" s="10" t="str"/>
    </x:row>
    <x:row r="11" ht="18" customHeight="1">
      <x:c r="A11" s="3" t="str">
        <x:v>LƯU TRÚ NỔI BẬT</x:v>
      </x:c>
      <x:c r="B11" s="4"/>
      <x:c r="C11" s="4"/>
      <x:c r="D11" s="4"/>
      <x:c r="E11" s="4"/>
      <x:c r="F11" s="4"/>
      <x:c r="G11" s="4"/>
      <x:c r="H11" s="4"/>
      <x:c r="I11" s="5"/>
    </x:row>
    <x:row r="12" ht="73.5" customHeight="1">
      <x:c r="A12" s="18" t="n">
        <x:v>4</x:v>
      </x:c>
      <x:c r="B12" s="17" t="str"/>
      <x:c r="C12" s="19" t="str">
        <x:v>HOME-STAY-01..03 · 3 thẻ hạng phòng</x:v>
      </x:c>
      <x:c r="D12" s="17" t="str">
        <x:v>Ảnh thẻ</x:v>
      </x:c>
      <x:c r="E12" s="18" t="n">
        <x:v>0</x:v>
      </x:c>
      <x:c r="F12" s="17" t="str">
        <x:v>WebP</x:v>
      </x:c>
      <x:c r="G12" s="17" t="str">
        <x:v>Máy tính: ảnh dọc 1200 × 1600 pixel
Điện thoại: ảnh dọc 1200 × 1500 pixel
Cắt từ cùng một ảnh gốc</x:v>
      </x:c>
      <x:c r="H12" s="18" t="str">
        <x:v>Tái sử dụng</x:v>
      </x:c>
      <x:c r="I12" s="17" t="str"/>
    </x:row>
    <x:row r="13" ht="18" customHeight="1">
      <x:c r="A13" s="3" t="str">
        <x:v>ẨM THỰC</x:v>
      </x:c>
      <x:c r="B13" s="4"/>
      <x:c r="C13" s="4"/>
      <x:c r="D13" s="4"/>
      <x:c r="E13" s="4"/>
      <x:c r="F13" s="4"/>
      <x:c r="G13" s="4"/>
      <x:c r="H13" s="4"/>
      <x:c r="I13" s="5"/>
    </x:row>
    <x:row r="14" ht="61.5" customHeight="1">
      <x:c r="A14" s="11" t="n">
        <x:v>5</x:v>
      </x:c>
      <x:c r="B14" s="10" t="str"/>
      <x:c r="C14" s="12" t="str">
        <x:v>HOME-DINING-01..03 · 3 thẻ ẩm thực</x:v>
      </x:c>
      <x:c r="D14" s="10" t="str">
        <x:v>Ảnh thẻ</x:v>
      </x:c>
      <x:c r="E14" s="11" t="n">
        <x:v>0</x:v>
      </x:c>
      <x:c r="F14" s="10" t="str">
        <x:v>WebP</x:v>
      </x:c>
      <x:c r="G14" s="10" t="str">
        <x:v>Máy tính và điện thoại: ảnh ngang 1600 × 1000 pixel</x:v>
      </x:c>
      <x:c r="H14" s="11" t="str">
        <x:v>Tái sử dụng</x:v>
      </x:c>
      <x:c r="I14" s="10" t="str"/>
    </x:row>
    <x:row r="15" ht="18" customHeight="1">
      <x:c r="A15" s="3" t="str">
        <x:v>MỘT NGÀY TẠI LAKA</x:v>
      </x:c>
      <x:c r="B15" s="4"/>
      <x:c r="C15" s="4"/>
      <x:c r="D15" s="4"/>
      <x:c r="E15" s="4"/>
      <x:c r="F15" s="4"/>
      <x:c r="G15" s="4"/>
      <x:c r="H15" s="4"/>
      <x:c r="I15" s="5"/>
    </x:row>
    <x:row r="16" ht="73.5" customHeight="1">
      <x:c r="A16" s="18" t="n">
        <x:v>6</x:v>
      </x:c>
      <x:c r="B16" s="17" t="str"/>
      <x:c r="C16" s="19" t="str">
        <x:v>HOME-JOURNEY-01..04 · 4 hoạt động</x:v>
      </x:c>
      <x:c r="D16" s="17" t="str">
        <x:v>Ảnh thẻ</x:v>
      </x:c>
      <x:c r="E16" s="18" t="n">
        <x:v>0</x:v>
      </x:c>
      <x:c r="F16" s="17" t="str">
        <x:v>WebP</x:v>
      </x:c>
      <x:c r="G16" s="17" t="str">
        <x:v>Máy tính: ảnh dọc 1600 × 2000 pixel
Điện thoại: ảnh dọc 1200 × 1500 pixel
Cắt từ cùng một ảnh gốc</x:v>
      </x:c>
      <x:c r="H16" s="18" t="str">
        <x:v>Tái sử dụng</x:v>
      </x:c>
      <x:c r="I16" s="17" t="str"/>
    </x:row>
    <x:row r="17" ht="18" customHeight="1">
      <x:c r="A17" s="3" t="str">
        <x:v>KHOẢNH KHẮC</x:v>
      </x:c>
      <x:c r="B17" s="4"/>
      <x:c r="C17" s="4"/>
      <x:c r="D17" s="4"/>
      <x:c r="E17" s="4"/>
      <x:c r="F17" s="4"/>
      <x:c r="G17" s="4"/>
      <x:c r="H17" s="4"/>
      <x:c r="I17" s="5"/>
    </x:row>
    <x:row r="18" ht="73.5" customHeight="1">
      <x:c r="A18" s="11" t="n">
        <x:v>7</x:v>
      </x:c>
      <x:c r="B18" s="10" t="str"/>
      <x:c r="C18" s="12" t="str">
        <x:v>HOME-GALLERY-01..09 · Lưới 9 ảnh</x:v>
      </x:c>
      <x:c r="D18" s="10" t="str">
        <x:v>Ảnh gallery</x:v>
      </x:c>
      <x:c r="E18" s="11" t="n">
        <x:v>0</x:v>
      </x:c>
      <x:c r="F18" s="10" t="str">
        <x:v>WebP</x:v>
      </x:c>
      <x:c r="G18" s="10" t="str">
        <x:v>Máy tính: ảnh ngang 1600 × 1200 pixel
Điện thoại: ảnh vuông 1200 × 1200 pixel
Cắt từ cùng một ảnh gốc</x:v>
      </x:c>
      <x:c r="H18" s="11" t="str">
        <x:v>Tái sử dụng</x:v>
      </x:c>
      <x:c r="I18" s="10" t="str"/>
    </x:row>
    <x:row r="19" ht="18" customHeight="1">
      <x:c r="A19" s="3" t="str">
        <x:v>CẢM NHẬN KHÁCH</x:v>
      </x:c>
      <x:c r="B19" s="4"/>
      <x:c r="C19" s="4"/>
      <x:c r="D19" s="4"/>
      <x:c r="E19" s="4"/>
      <x:c r="F19" s="4"/>
      <x:c r="G19" s="4"/>
      <x:c r="H19" s="4"/>
      <x:c r="I19" s="5"/>
    </x:row>
    <x:row r="20" ht="61.5" customHeight="1">
      <x:c r="A20" s="18" t="n">
        <x:v>8</x:v>
      </x:c>
      <x:c r="B20" s="17" t="str"/>
      <x:c r="C20" s="19" t="str">
        <x:v>HOME-REVIEW · Slider đánh giá</x:v>
      </x:c>
      <x:c r="D20" s="17" t="str">
        <x:v>Nội dung chữ</x:v>
      </x:c>
      <x:c r="E20" s="18" t="n">
        <x:v>0</x:v>
      </x:c>
      <x:c r="F20" s="17" t="str">
        <x:v>DOC/XLSX</x:v>
      </x:c>
      <x:c r="G20" s="17" t="str">
        <x:v>Không cần ảnh</x:v>
      </x:c>
      <x:c r="H20" s="18" t="str">
        <x:v>Không cần ảnh</x:v>
      </x:c>
      <x:c r="I20" s="17" t="str"/>
    </x:row>
    <x:row r="22" ht="22.5" customHeight="1">
      <x:c r="A22" s="22" t="str">
        <x:v>TỔNG ẢNH GỐC CẦN CHỤP</x:v>
      </x:c>
      <x:c r="B22" s="22"/>
      <x:c r="C22" s="22"/>
      <x:c r="D22" s="22"/>
      <x:c r="E22" s="23" t="n">
        <x:f>SUMIFS($E$6:$E$20,$H$6:$H$20,"Cần chụp")</x:f>
        <x:v>1</x:v>
      </x:c>
      <x:c r="F22" s="22" t="str">
        <x:v>Ảnh cho máy tính và điện thoại được cắt từ cùng ảnh gốc</x:v>
      </x:c>
      <x:c r="G22" s="22"/>
      <x:c r="H22" s="22"/>
      <x:c r="I22" s="22"/>
    </x:row>
    <x:row r="23" ht="22.5" customHeight="1">
      <x:c r="A23" s="26" t="str">
        <x:v>FILE / ĐỒ HỌA KHÁC CẦN XỬ LÝ</x:v>
      </x:c>
      <x:c r="B23" s="26"/>
      <x:c r="C23" s="26"/>
      <x:c r="D23" s="26"/>
      <x:c r="E23" s="27" t="n">
        <x:f>SUMIFS($E$6:$E$20,$H$6:$H$20,"&lt;&gt;Cần chụp",$H$6:$H$20,"&lt;&gt;Tái sử dụng",$H$6:$H$20,"&lt;&gt;Không cần ảnh",$H$6:$H$20,"&lt;&gt;Có sẵn")</x:f>
        <x:v>0</x:v>
      </x:c>
      <x:c r="F23" s="26" t="str">
        <x:v>Gồm file cần tối ưu, thiết kế hoặc xuất</x:v>
      </x:c>
      <x:c r="G23" s="26"/>
      <x:c r="H23" s="26"/>
      <x:c r="I23" s="26"/>
    </x:row>
  </x:sheetData>
  <x:mergeCells>
    <x:mergeCell ref="A6:I6"/>
    <x:mergeCell ref="A8:I8"/>
    <x:mergeCell ref="A11:I11"/>
    <x:mergeCell ref="A13:I13"/>
    <x:mergeCell ref="A15:I15"/>
    <x:mergeCell ref="A17:I17"/>
    <x:mergeCell ref="A19:I19"/>
    <x:mergeCell ref="A22:D22"/>
    <x:mergeCell ref="F22:I22"/>
    <x:mergeCell ref="A23:D23"/>
    <x:mergeCell ref="F23:I23"/>
    <x:mergeCell ref="A1:I1"/>
    <x:mergeCell ref="A2:I2"/>
    <x:mergeCell ref="A3:I3"/>
    <x:mergeCell ref="A4:A5"/>
    <x:mergeCell ref="D4:D5"/>
    <x:mergeCell ref="E4:E5"/>
    <x:mergeCell ref="F4:F5"/>
    <x:mergeCell ref="G4:G5"/>
    <x:mergeCell ref="H4:H5"/>
    <x:mergeCell ref="I4:I5"/>
    <x:mergeCell ref="B4:C4"/>
  </x:mergeCells>
  <x:conditionalFormatting sqref="H6:H20">
    <x:cfRule type="containsText" dxfId="0" priority="1" operator="containsText" text="Cần chụp"/>
    <x:cfRule type="containsText" dxfId="1" priority="2" operator="containsText" text="Tái sử dụng"/>
    <x:cfRule type="containsText" dxfId="2" priority="3" operator="containsText" text="Có sẵn"/>
    <x:cfRule type="containsText" dxfId="3" priority="4" operator="containsText" text="Có sẵn · cần tối ưu"/>
    <x:cfRule type="containsText" dxfId="4" priority="5" operator="containsText" text="Cần thiết kế"/>
    <x:cfRule type="containsText" dxfId="5" priority="6" operator="containsText" text="Cần xuất"/>
    <x:cfRule type="containsText" dxfId="6" priority="7" operator="containsText" text="Không cần ảnh"/>
  </x:conditionalFormatting>
  <x:dataValidations count="8">
    <x:dataValidation type="list" sqref="H7">
      <x:formula1>"Cần chụp,Tái sử dụng,Có sẵn,Có sẵn · cần tối ưu,Cần thiết kế,Cần xuất,Không cần ảnh"</x:formula1>
    </x:dataValidation>
    <x:dataValidation type="list" sqref="H9">
      <x:formula1>"Cần chụp,Tái sử dụng,Có sẵn,Có sẵn · cần tối ưu,Cần thiết kế,Cần xuất,Không cần ảnh"</x:formula1>
    </x:dataValidation>
    <x:dataValidation type="list" sqref="H10">
      <x:formula1>"Cần chụp,Tái sử dụng,Có sẵn,Có sẵn · cần tối ưu,Cần thiết kế,Cần xuất,Không cần ảnh"</x:formula1>
    </x:dataValidation>
    <x:dataValidation type="list" sqref="H12">
      <x:formula1>"Cần chụp,Tái sử dụng,Có sẵn,Có sẵn · cần tối ưu,Cần thiết kế,Cần xuất,Không cần ảnh"</x:formula1>
    </x:dataValidation>
    <x:dataValidation type="list" sqref="H14">
      <x:formula1>"Cần chụp,Tái sử dụng,Có sẵn,Có sẵn · cần tối ưu,Cần thiết kế,Cần xuất,Không cần ảnh"</x:formula1>
    </x:dataValidation>
    <x:dataValidation type="list" sqref="H16">
      <x:formula1>"Cần chụp,Tái sử dụng,Có sẵn,Có sẵn · cần tối ưu,Cần thiết kế,Cần xuất,Không cần ảnh"</x:formula1>
    </x:dataValidation>
    <x:dataValidation type="list" sqref="H18">
      <x:formula1>"Cần chụp,Tái sử dụng,Có sẵn,Có sẵn · cần tối ưu,Cần thiết kế,Cần xuất,Không cần ảnh"</x:formula1>
    </x:dataValidation>
    <x:dataValidation type="list" sqref="H20">
      <x:formula1>"Cần chụp,Tái sử dụng,Có sẵn,Có sẵn · cần tối ưu,Cần thiết kế,Cần xuất,Không cần ảnh"</x:formula1>
    </x:dataValidation>
  </x:dataValidations>
  <x:pageMargins left="0.7" right="0.7" top="0.75" bottom="0.75" header="0.3" footer="0.3"/>
  <x:drawing xmlns:r="http://schemas.openxmlformats.org/officeDocument/2006/relationships" r:id="Rc4eba89c93f046a0"/>
</x:worksheet>
</file>

<file path=xl/worksheets/sheet3.xml><?xml version="1.0" encoding="utf-8"?>
<x:worksheet xmlns:x="http://schemas.openxmlformats.org/spreadsheetml/2006/main">
  <x:sheetPr>
    <x:tabColor rgb="FF3E7D6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5" hidden="0" customWidth="1"/>
    <x:col min="2" max="2" width="15.75" hidden="0" customWidth="1"/>
    <x:col min="3" max="3" width="43.75" hidden="0" customWidth="1"/>
    <x:col min="4" max="4" width="17.5" hidden="0" customWidth="1"/>
    <x:col min="5" max="5" width="8.75" hidden="0" customWidth="1"/>
    <x:col min="6" max="6" width="13.75" hidden="0" customWidth="1"/>
    <x:col min="7" max="7" width="48.75" hidden="0" customWidth="1"/>
    <x:col min="8" max="8" width="18.1299991607666" hidden="0" customWidth="1"/>
    <x:col min="9" max="9" width="26.25" hidden="0" customWidth="1"/>
  </x:cols>
  <x:sheetData>
    <x:row r="1" ht="33" customHeight="1">
      <x:c r="A1" s="30" t="str">
        <x:v>LAKA HOMESTAY · LƯU TRÚ</x:v>
      </x:c>
      <x:c r="B1" s="30"/>
      <x:c r="C1" s="30"/>
      <x:c r="D1" s="30"/>
      <x:c r="E1" s="30"/>
      <x:c r="F1" s="30"/>
      <x:c r="G1" s="30"/>
      <x:c r="H1" s="30"/>
      <x:c r="I1" s="30"/>
    </x:row>
    <x:row r="2" ht="19.5" customHeight="1">
      <x:c r="A2" s="25" t="str">
        <x:v>Phạm vi: /luu-tru · 8 trang chi tiết · bản /en</x:v>
      </x:c>
      <x:c r="B2" s="25"/>
      <x:c r="C2" s="25"/>
      <x:c r="D2" s="25"/>
      <x:c r="E2" s="25"/>
      <x:c r="F2" s="25"/>
      <x:c r="G2" s="25"/>
      <x:c r="H2" s="25"/>
      <x:c r="I2" s="25"/>
    </x:row>
    <x:row r="3" ht="21" customHeight="1">
      <x:c r="A3" s="32" t="str">
        <x:v>Cách đọc: Số lượng là số ảnh gốc cần chụp. Bản dùng cho máy tính và điện thoại được cắt từ cùng một ảnh gốc.</x:v>
      </x:c>
      <x:c r="B3" s="32"/>
      <x:c r="C3" s="32"/>
      <x:c r="D3" s="32"/>
      <x:c r="E3" s="32"/>
      <x:c r="F3" s="32"/>
      <x:c r="G3" s="32"/>
      <x:c r="H3" s="32"/>
      <x:c r="I3" s="32"/>
    </x:row>
    <x:row r="4" ht="21" customHeight="1">
      <x:c r="A4" s="38" t="str">
        <x:v>STT</x:v>
      </x:c>
      <x:c r="B4" s="38" t="str">
        <x:v>VỊ TRÍ (ẢNH + TÊN)</x:v>
      </x:c>
      <x:c r="C4" s="38"/>
      <x:c r="D4" s="38" t="str">
        <x:v>HẠNG MỤC</x:v>
      </x:c>
      <x:c r="E4" s="38" t="str">
        <x:v>SỐ LƯỢNG</x:v>
      </x:c>
      <x:c r="F4" s="38" t="str">
        <x:v>ĐỊNH DẠNG</x:v>
      </x:c>
      <x:c r="G4" s="38" t="str">
        <x:v>KÍCH THƯỚC ẢNH CẦN GIAO</x:v>
      </x:c>
      <x:c r="H4" s="38" t="str">
        <x:v>TRẠNG THÁI</x:v>
      </x:c>
      <x:c r="I4" s="38" t="str">
        <x:v>GHI CHÚ</x:v>
      </x:c>
    </x:row>
    <x:row r="5" ht="21" customHeight="1">
      <x:c r="A5" s="38"/>
      <x:c r="B5" s="38" t="str">
        <x:v>Ảnh UI</x:v>
      </x:c>
      <x:c r="C5" s="38" t="str">
        <x:v>Tên / vị trí</x:v>
      </x:c>
      <x:c r="D5" s="38"/>
      <x:c r="E5" s="38"/>
      <x:c r="F5" s="38"/>
      <x:c r="G5" s="38"/>
      <x:c r="H5" s="38"/>
      <x:c r="I5" s="38"/>
    </x:row>
    <x:row r="6" ht="18" customHeight="1">
      <x:c r="A6" s="3" t="str">
        <x:v>BANNER TRANG</x:v>
      </x:c>
      <x:c r="B6" s="4"/>
      <x:c r="C6" s="4"/>
      <x:c r="D6" s="4"/>
      <x:c r="E6" s="4"/>
      <x:c r="F6" s="4"/>
      <x:c r="G6" s="4"/>
      <x:c r="H6" s="4"/>
      <x:c r="I6" s="5"/>
    </x:row>
    <x:row r="7" ht="73.5" customHeight="1">
      <x:c r="A7" s="11" t="n">
        <x:v>1</x:v>
      </x:c>
      <x:c r="B7" s="10" t="str"/>
      <x:c r="C7" s="12" t="str">
        <x:v>STAY-HERO · /luu-tru</x:v>
      </x:c>
      <x:c r="D7" s="10" t="str">
        <x:v>Ảnh hero</x:v>
      </x:c>
      <x:c r="E7" s="11" t="n">
        <x:v>0</x:v>
      </x:c>
      <x:c r="F7" s="10" t="str">
        <x:v>WebP</x:v>
      </x:c>
      <x:c r="G7" s="10" t="str">
        <x:v>Máy tính: ảnh ngang 2400 × 1350 pixel
Điện thoại: ảnh dọc 1600 × 2000 pixel
Cắt từ cùng một ảnh gốc</x:v>
      </x:c>
      <x:c r="H7" s="11" t="str">
        <x:v>Tái sử dụng</x:v>
      </x:c>
      <x:c r="I7" s="10" t="str"/>
    </x:row>
    <x:row r="8" ht="18" customHeight="1">
      <x:c r="A8" s="3" t="str">
        <x:v>8 LOẠI LƯU TRÚ / 20 CĂN</x:v>
      </x:c>
      <x:c r="B8" s="4"/>
      <x:c r="C8" s="4"/>
      <x:c r="D8" s="4"/>
      <x:c r="E8" s="4"/>
      <x:c r="F8" s="4"/>
      <x:c r="G8" s="4"/>
      <x:c r="H8" s="4"/>
      <x:c r="I8" s="5"/>
    </x:row>
    <x:row r="9" ht="73.5" customHeight="1">
      <x:c r="A9" s="18" t="n">
        <x:v>2</x:v>
      </x:c>
      <x:c r="B9" s="17" t="str"/>
      <x:c r="C9" s="19" t="str">
        <x:v>STAY-GH-01..04 · Guest House 001</x:v>
      </x:c>
      <x:c r="D9" s="17" t="str">
        <x:v>Bộ ảnh hạng phòng</x:v>
      </x:c>
      <x:c r="E9" s="18" t="n">
        <x:v>4</x:v>
      </x:c>
      <x:c r="F9" s="17" t="str">
        <x:v>JPG gốc + WebP</x:v>
      </x:c>
      <x:c r="G9" s="17" t="str">
        <x:v>Ảnh gốc: cạnh dài ít nhất 4000 pixel
Mỗi loại phòng giao 4 ảnh: 1 ảnh dọc 1200 × 1600 + 3 ảnh ngang 2000 × 1333 pixel
Điện thoại: thêm bản cắt 1200 × 1500 pixel từ ảnh dọc</x:v>
      </x:c>
      <x:c r="H9" s="18" t="str">
        <x:v>Cần chụp</x:v>
      </x:c>
      <x:c r="I9" s="17" t="str"/>
    </x:row>
    <x:row r="10" ht="73.5" customHeight="1">
      <x:c r="A10" s="11" t="n">
        <x:v>3</x:v>
      </x:c>
      <x:c r="B10" s="10" t="str"/>
      <x:c r="C10" s="12" t="str">
        <x:v>STAY-BUNGALOW-01..04 · Bungalow 002–003</x:v>
      </x:c>
      <x:c r="D10" s="10" t="str">
        <x:v>Bộ ảnh hạng phòng</x:v>
      </x:c>
      <x:c r="E10" s="11" t="n">
        <x:v>4</x:v>
      </x:c>
      <x:c r="F10" s="10" t="str">
        <x:v>JPG gốc + WebP</x:v>
      </x:c>
      <x:c r="G10" s="10" t="str">
        <x:v>Ảnh gốc: cạnh dài ít nhất 4000 pixel
Mỗi loại phòng giao 4 ảnh: 1 ảnh dọc 1200 × 1600 + 3 ảnh ngang 2000 × 1333 pixel
Điện thoại: thêm bản cắt 1200 × 1500 pixel từ ảnh dọc</x:v>
      </x:c>
      <x:c r="H10" s="11" t="str">
        <x:v>Cần chụp</x:v>
      </x:c>
      <x:c r="I10" s="10" t="str"/>
    </x:row>
    <x:row r="11" ht="73.5" customHeight="1">
      <x:c r="A11" s="18" t="n">
        <x:v>4</x:v>
      </x:c>
      <x:c r="B11" s="17" t="str"/>
      <x:c r="C11" s="19" t="str">
        <x:v>STAY-ANTRU-01..04 · Cabin An Trú 004–005</x:v>
      </x:c>
      <x:c r="D11" s="17" t="str">
        <x:v>Bộ ảnh hạng phòng</x:v>
      </x:c>
      <x:c r="E11" s="18" t="n">
        <x:v>4</x:v>
      </x:c>
      <x:c r="F11" s="17" t="str">
        <x:v>JPG gốc + WebP</x:v>
      </x:c>
      <x:c r="G11" s="17" t="str">
        <x:v>Ảnh gốc: cạnh dài ít nhất 4000 pixel
Mỗi loại phòng giao 4 ảnh: 1 ảnh dọc 1200 × 1600 + 3 ảnh ngang 2000 × 1333 pixel
Điện thoại: thêm bản cắt 1200 × 1500 pixel từ ảnh dọc</x:v>
      </x:c>
      <x:c r="H11" s="18" t="str">
        <x:v>Cần chụp</x:v>
      </x:c>
      <x:c r="I11" s="17" t="str"/>
    </x:row>
    <x:row r="12" ht="73.5" customHeight="1">
      <x:c r="A12" s="11" t="n">
        <x:v>5</x:v>
      </x:c>
      <x:c r="B12" s="10" t="str"/>
      <x:c r="C12" s="12" t="str">
        <x:v>STAY-KHOANGTROI-01..04 · Cabin Khoảng Trời 006–011</x:v>
      </x:c>
      <x:c r="D12" s="10" t="str">
        <x:v>Bộ ảnh hạng phòng</x:v>
      </x:c>
      <x:c r="E12" s="11" t="n">
        <x:v>4</x:v>
      </x:c>
      <x:c r="F12" s="10" t="str">
        <x:v>JPG gốc + WebP</x:v>
      </x:c>
      <x:c r="G12" s="10" t="str">
        <x:v>Ảnh gốc: cạnh dài ít nhất 4000 pixel
Mỗi loại phòng giao 4 ảnh: 1 ảnh dọc 1200 × 1600 + 3 ảnh ngang 2000 × 1333 pixel
Điện thoại: thêm bản cắt 1200 × 1500 pixel từ ảnh dọc</x:v>
      </x:c>
      <x:c r="H12" s="11" t="str">
        <x:v>Cần chụp</x:v>
      </x:c>
      <x:c r="I12" s="10" t="str"/>
    </x:row>
    <x:row r="13" ht="73.5" customHeight="1">
      <x:c r="A13" s="18" t="n">
        <x:v>6</x:v>
      </x:c>
      <x:c r="B13" s="17" t="str"/>
      <x:c r="C13" s="19" t="str">
        <x:v>STAY-SUMVAY-01..04 · Cabin Sum Vầy 012–013</x:v>
      </x:c>
      <x:c r="D13" s="17" t="str">
        <x:v>Bộ ảnh hạng phòng</x:v>
      </x:c>
      <x:c r="E13" s="18" t="n">
        <x:v>4</x:v>
      </x:c>
      <x:c r="F13" s="17" t="str">
        <x:v>JPG gốc + WebP</x:v>
      </x:c>
      <x:c r="G13" s="17" t="str">
        <x:v>Ảnh gốc: cạnh dài ít nhất 4000 pixel
Mỗi loại phòng giao 4 ảnh: 1 ảnh dọc 1200 × 1600 + 3 ảnh ngang 2000 × 1333 pixel
Điện thoại: thêm bản cắt 1200 × 1500 pixel từ ảnh dọc</x:v>
      </x:c>
      <x:c r="H13" s="18" t="str">
        <x:v>Cần chụp</x:v>
      </x:c>
      <x:c r="I13" s="17" t="str"/>
    </x:row>
    <x:row r="14" ht="73.5" customHeight="1">
      <x:c r="A14" s="11" t="n">
        <x:v>7</x:v>
      </x:c>
      <x:c r="B14" s="10" t="str"/>
      <x:c r="C14" s="12" t="str">
        <x:v>STAY-VOCUC-01..04 · Cabin Vô Cực 014–017</x:v>
      </x:c>
      <x:c r="D14" s="10" t="str">
        <x:v>Bộ ảnh hạng phòng</x:v>
      </x:c>
      <x:c r="E14" s="11" t="n">
        <x:v>4</x:v>
      </x:c>
      <x:c r="F14" s="10" t="str">
        <x:v>JPG gốc + WebP</x:v>
      </x:c>
      <x:c r="G14" s="10" t="str">
        <x:v>Ảnh gốc: cạnh dài ít nhất 4000 pixel
Mỗi loại phòng giao 4 ảnh: 1 ảnh dọc 1200 × 1600 + 3 ảnh ngang 2000 × 1333 pixel
Điện thoại: thêm bản cắt 1200 × 1500 pixel từ ảnh dọc</x:v>
      </x:c>
      <x:c r="H14" s="11" t="str">
        <x:v>Cần chụp</x:v>
      </x:c>
      <x:c r="I14" s="10" t="str"/>
    </x:row>
    <x:row r="15" ht="73.5" customHeight="1">
      <x:c r="A15" s="18" t="n">
        <x:v>8</x:v>
      </x:c>
      <x:c r="B15" s="17" t="str"/>
      <x:c r="C15" s="19" t="str">
        <x:v>STAY-THONGREO-01..04 · Nhà Thông Reo 018–019</x:v>
      </x:c>
      <x:c r="D15" s="17" t="str">
        <x:v>Bộ ảnh hạng phòng</x:v>
      </x:c>
      <x:c r="E15" s="18" t="n">
        <x:v>4</x:v>
      </x:c>
      <x:c r="F15" s="17" t="str">
        <x:v>JPG gốc + WebP</x:v>
      </x:c>
      <x:c r="G15" s="17" t="str">
        <x:v>Ảnh gốc: cạnh dài ít nhất 4000 pixel
Mỗi loại phòng giao 4 ảnh: 1 ảnh dọc 1200 × 1600 + 3 ảnh ngang 2000 × 1333 pixel
Điện thoại: thêm bản cắt 1200 × 1500 pixel từ ảnh dọc</x:v>
      </x:c>
      <x:c r="H15" s="18" t="str">
        <x:v>Cần chụp</x:v>
      </x:c>
      <x:c r="I15" s="17" t="str"/>
    </x:row>
    <x:row r="16" ht="73.5" customHeight="1">
      <x:c r="A16" s="11" t="n">
        <x:v>9</x:v>
      </x:c>
      <x:c r="B16" s="10" t="str"/>
      <x:c r="C16" s="12" t="str">
        <x:v>STAY-TOPHILL-01..04 · Villa Top Hill 020</x:v>
      </x:c>
      <x:c r="D16" s="10" t="str">
        <x:v>Bộ ảnh hạng phòng</x:v>
      </x:c>
      <x:c r="E16" s="11" t="n">
        <x:v>4</x:v>
      </x:c>
      <x:c r="F16" s="10" t="str">
        <x:v>JPG gốc + WebP</x:v>
      </x:c>
      <x:c r="G16" s="10" t="str">
        <x:v>Ảnh gốc: cạnh dài ít nhất 4000 pixel
Mỗi loại phòng giao 4 ảnh: 1 ảnh dọc 1200 × 1600 + 3 ảnh ngang 2000 × 1333 pixel
Điện thoại: thêm bản cắt 1200 × 1500 pixel từ ảnh dọc</x:v>
      </x:c>
      <x:c r="H16" s="11" t="str">
        <x:v>Cần chụp</x:v>
      </x:c>
      <x:c r="I16" s="10" t="str"/>
    </x:row>
    <x:row r="18" ht="22.5" customHeight="1">
      <x:c r="A18" s="22" t="str">
        <x:v>TỔNG ẢNH GỐC CẦN CHỤP</x:v>
      </x:c>
      <x:c r="B18" s="22"/>
      <x:c r="C18" s="22"/>
      <x:c r="D18" s="22"/>
      <x:c r="E18" s="23" t="n">
        <x:f>SUMIFS($E$6:$E$16,$H$6:$H$16,"Cần chụp")</x:f>
        <x:v>32</x:v>
      </x:c>
      <x:c r="F18" s="22" t="str">
        <x:v>Ảnh cho máy tính và điện thoại được cắt từ cùng ảnh gốc</x:v>
      </x:c>
      <x:c r="G18" s="22"/>
      <x:c r="H18" s="22"/>
      <x:c r="I18" s="22"/>
    </x:row>
    <x:row r="19" ht="22.5" customHeight="1">
      <x:c r="A19" s="26" t="str">
        <x:v>FILE / ĐỒ HỌA KHÁC CẦN XỬ LÝ</x:v>
      </x:c>
      <x:c r="B19" s="26"/>
      <x:c r="C19" s="26"/>
      <x:c r="D19" s="26"/>
      <x:c r="E19" s="27" t="n">
        <x:f>SUMIFS($E$6:$E$16,$H$6:$H$16,"&lt;&gt;Cần chụp",$H$6:$H$16,"&lt;&gt;Tái sử dụng",$H$6:$H$16,"&lt;&gt;Không cần ảnh",$H$6:$H$16,"&lt;&gt;Có sẵn")</x:f>
        <x:v>0</x:v>
      </x:c>
      <x:c r="F19" s="26" t="str">
        <x:v>Gồm file cần tối ưu, thiết kế hoặc xuất</x:v>
      </x:c>
      <x:c r="G19" s="26"/>
      <x:c r="H19" s="26"/>
      <x:c r="I19" s="26"/>
    </x:row>
  </x:sheetData>
  <x:mergeCells>
    <x:mergeCell ref="A6:I6"/>
    <x:mergeCell ref="A8:I8"/>
    <x:mergeCell ref="A18:D18"/>
    <x:mergeCell ref="F18:I18"/>
    <x:mergeCell ref="A19:D19"/>
    <x:mergeCell ref="F19:I19"/>
    <x:mergeCell ref="A1:I1"/>
    <x:mergeCell ref="A2:I2"/>
    <x:mergeCell ref="A3:I3"/>
    <x:mergeCell ref="A4:A5"/>
    <x:mergeCell ref="D4:D5"/>
    <x:mergeCell ref="E4:E5"/>
    <x:mergeCell ref="F4:F5"/>
    <x:mergeCell ref="G4:G5"/>
    <x:mergeCell ref="H4:H5"/>
    <x:mergeCell ref="I4:I5"/>
    <x:mergeCell ref="B4:C4"/>
  </x:mergeCells>
  <x:conditionalFormatting sqref="H6:H16">
    <x:cfRule type="containsText" dxfId="7" priority="1" operator="containsText" text="Cần chụp"/>
    <x:cfRule type="containsText" dxfId="8" priority="2" operator="containsText" text="Tái sử dụng"/>
    <x:cfRule type="containsText" dxfId="9" priority="3" operator="containsText" text="Có sẵn"/>
    <x:cfRule type="containsText" dxfId="10" priority="4" operator="containsText" text="Có sẵn · cần tối ưu"/>
    <x:cfRule type="containsText" dxfId="11" priority="5" operator="containsText" text="Cần thiết kế"/>
    <x:cfRule type="containsText" dxfId="12" priority="6" operator="containsText" text="Cần xuất"/>
    <x:cfRule type="containsText" dxfId="13" priority="7" operator="containsText" text="Không cần ảnh"/>
  </x:conditionalFormatting>
  <x:dataValidations count="9">
    <x:dataValidation type="list" sqref="H7">
      <x:formula1>"Cần chụp,Tái sử dụng,Có sẵn,Có sẵn · cần tối ưu,Cần thiết kế,Cần xuất,Không cần ảnh"</x:formula1>
    </x:dataValidation>
    <x:dataValidation type="list" sqref="H9">
      <x:formula1>"Cần chụp,Tái sử dụng,Có sẵn,Có sẵn · cần tối ưu,Cần thiết kế,Cần xuất,Không cần ảnh"</x:formula1>
    </x:dataValidation>
    <x:dataValidation type="list" sqref="H10">
      <x:formula1>"Cần chụp,Tái sử dụng,Có sẵn,Có sẵn · cần tối ưu,Cần thiết kế,Cần xuất,Không cần ảnh"</x:formula1>
    </x:dataValidation>
    <x:dataValidation type="list" sqref="H11">
      <x:formula1>"Cần chụp,Tái sử dụng,Có sẵn,Có sẵn · cần tối ưu,Cần thiết kế,Cần xuất,Không cần ảnh"</x:formula1>
    </x:dataValidation>
    <x:dataValidation type="list" sqref="H12">
      <x:formula1>"Cần chụp,Tái sử dụng,Có sẵn,Có sẵn · cần tối ưu,Cần thiết kế,Cần xuất,Không cần ảnh"</x:formula1>
    </x:dataValidation>
    <x:dataValidation type="list" sqref="H13">
      <x:formula1>"Cần chụp,Tái sử dụng,Có sẵn,Có sẵn · cần tối ưu,Cần thiết kế,Cần xuất,Không cần ảnh"</x:formula1>
    </x:dataValidation>
    <x:dataValidation type="list" sqref="H14">
      <x:formula1>"Cần chụp,Tái sử dụng,Có sẵn,Có sẵn · cần tối ưu,Cần thiết kế,Cần xuất,Không cần ảnh"</x:formula1>
    </x:dataValidation>
    <x:dataValidation type="list" sqref="H15">
      <x:formula1>"Cần chụp,Tái sử dụng,Có sẵn,Có sẵn · cần tối ưu,Cần thiết kế,Cần xuất,Không cần ảnh"</x:formula1>
    </x:dataValidation>
    <x:dataValidation type="list" sqref="H16">
      <x:formula1>"Cần chụp,Tái sử dụng,Có sẵn,Có sẵn · cần tối ưu,Cần thiết kế,Cần xuất,Không cần ảnh"</x:formula1>
    </x:dataValidation>
  </x:dataValidations>
  <x:pageMargins left="0.7" right="0.7" top="0.75" bottom="0.75" header="0.3" footer="0.3"/>
  <x:drawing xmlns:r="http://schemas.openxmlformats.org/officeDocument/2006/relationships" r:id="R5b3849c36a5a42a0"/>
</x:worksheet>
</file>

<file path=xl/worksheets/sheet4.xml><?xml version="1.0" encoding="utf-8"?>
<x:worksheet xmlns:x="http://schemas.openxmlformats.org/spreadsheetml/2006/main">
  <x:sheetPr>
    <x:tabColor rgb="FF5B8FA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5" hidden="0" customWidth="1"/>
    <x:col min="2" max="2" width="15.75" hidden="0" customWidth="1"/>
    <x:col min="3" max="3" width="43.75" hidden="0" customWidth="1"/>
    <x:col min="4" max="4" width="17.5" hidden="0" customWidth="1"/>
    <x:col min="5" max="5" width="8.75" hidden="0" customWidth="1"/>
    <x:col min="6" max="6" width="13.75" hidden="0" customWidth="1"/>
    <x:col min="7" max="7" width="48.75" hidden="0" customWidth="1"/>
    <x:col min="8" max="8" width="18.1299991607666" hidden="0" customWidth="1"/>
    <x:col min="9" max="9" width="26.25" hidden="0" customWidth="1"/>
  </x:cols>
  <x:sheetData>
    <x:row r="1" ht="33" customHeight="1">
      <x:c r="A1" s="30" t="str">
        <x:v>LAKA HOMESTAY · TRẢI NGHIỆM</x:v>
      </x:c>
      <x:c r="B1" s="30"/>
      <x:c r="C1" s="30"/>
      <x:c r="D1" s="30"/>
      <x:c r="E1" s="30"/>
      <x:c r="F1" s="30"/>
      <x:c r="G1" s="30"/>
      <x:c r="H1" s="30"/>
      <x:c r="I1" s="30"/>
    </x:row>
    <x:row r="2" ht="19.5" customHeight="1">
      <x:c r="A2" s="25" t="str">
        <x:v>Phạm vi: /trai-nghiem · /en/experiences</x:v>
      </x:c>
      <x:c r="B2" s="25"/>
      <x:c r="C2" s="25"/>
      <x:c r="D2" s="25"/>
      <x:c r="E2" s="25"/>
      <x:c r="F2" s="25"/>
      <x:c r="G2" s="25"/>
      <x:c r="H2" s="25"/>
      <x:c r="I2" s="25"/>
    </x:row>
    <x:row r="3" ht="21" customHeight="1">
      <x:c r="A3" s="32" t="str">
        <x:v>Cách đọc: Số lượng là số ảnh gốc cần chụp. Bản dùng cho máy tính và điện thoại được cắt từ cùng một ảnh gốc.</x:v>
      </x:c>
      <x:c r="B3" s="32"/>
      <x:c r="C3" s="32"/>
      <x:c r="D3" s="32"/>
      <x:c r="E3" s="32"/>
      <x:c r="F3" s="32"/>
      <x:c r="G3" s="32"/>
      <x:c r="H3" s="32"/>
      <x:c r="I3" s="32"/>
    </x:row>
    <x:row r="4" ht="21" customHeight="1">
      <x:c r="A4" s="38" t="str">
        <x:v>STT</x:v>
      </x:c>
      <x:c r="B4" s="38" t="str">
        <x:v>VỊ TRÍ (ẢNH + TÊN)</x:v>
      </x:c>
      <x:c r="C4" s="38"/>
      <x:c r="D4" s="38" t="str">
        <x:v>HẠNG MỤC</x:v>
      </x:c>
      <x:c r="E4" s="38" t="str">
        <x:v>SỐ LƯỢNG</x:v>
      </x:c>
      <x:c r="F4" s="38" t="str">
        <x:v>ĐỊNH DẠNG</x:v>
      </x:c>
      <x:c r="G4" s="38" t="str">
        <x:v>KÍCH THƯỚC ẢNH CẦN GIAO</x:v>
      </x:c>
      <x:c r="H4" s="38" t="str">
        <x:v>TRẠNG THÁI</x:v>
      </x:c>
      <x:c r="I4" s="38" t="str">
        <x:v>GHI CHÚ</x:v>
      </x:c>
    </x:row>
    <x:row r="5" ht="21" customHeight="1">
      <x:c r="A5" s="38"/>
      <x:c r="B5" s="38" t="str">
        <x:v>Ảnh UI</x:v>
      </x:c>
      <x:c r="C5" s="38" t="str">
        <x:v>Tên / vị trí</x:v>
      </x:c>
      <x:c r="D5" s="38"/>
      <x:c r="E5" s="38"/>
      <x:c r="F5" s="38"/>
      <x:c r="G5" s="38"/>
      <x:c r="H5" s="38"/>
      <x:c r="I5" s="38"/>
    </x:row>
    <x:row r="6" ht="18" customHeight="1">
      <x:c r="A6" s="3" t="str">
        <x:v>BANNER TRANG</x:v>
      </x:c>
      <x:c r="B6" s="4"/>
      <x:c r="C6" s="4"/>
      <x:c r="D6" s="4"/>
      <x:c r="E6" s="4"/>
      <x:c r="F6" s="4"/>
      <x:c r="G6" s="4"/>
      <x:c r="H6" s="4"/>
      <x:c r="I6" s="5"/>
    </x:row>
    <x:row r="7" ht="73.5" customHeight="1">
      <x:c r="A7" s="11" t="n">
        <x:v>1</x:v>
      </x:c>
      <x:c r="B7" s="10" t="str"/>
      <x:c r="C7" s="12" t="str">
        <x:v>EXP-HERO · /trai-nghiem</x:v>
      </x:c>
      <x:c r="D7" s="10" t="str">
        <x:v>Ảnh hero</x:v>
      </x:c>
      <x:c r="E7" s="11" t="n">
        <x:v>0</x:v>
      </x:c>
      <x:c r="F7" s="10" t="str">
        <x:v>WebP</x:v>
      </x:c>
      <x:c r="G7" s="10" t="str">
        <x:v>Máy tính: ảnh ngang 2400 × 1350 pixel
Điện thoại: ảnh dọc 1600 × 2000 pixel
Cắt từ cùng một ảnh gốc</x:v>
      </x:c>
      <x:c r="H7" s="11" t="str">
        <x:v>Tái sử dụng</x:v>
      </x:c>
      <x:c r="I7" s="10" t="str"/>
    </x:row>
    <x:row r="8" ht="18" customHeight="1">
      <x:c r="A8" s="3" t="str">
        <x:v>HOẠT ĐỘNG NGOÀI TRỜI</x:v>
      </x:c>
      <x:c r="B8" s="4"/>
      <x:c r="C8" s="4"/>
      <x:c r="D8" s="4"/>
      <x:c r="E8" s="4"/>
      <x:c r="F8" s="4"/>
      <x:c r="G8" s="4"/>
      <x:c r="H8" s="4"/>
      <x:c r="I8" s="5"/>
    </x:row>
    <x:row r="9" ht="73.5" customHeight="1">
      <x:c r="A9" s="18" t="n">
        <x:v>2</x:v>
      </x:c>
      <x:c r="B9" s="17" t="str"/>
      <x:c r="C9" s="19" t="str">
        <x:v>EXP-01 · Pickleball</x:v>
      </x:c>
      <x:c r="D9" s="17" t="str">
        <x:v>Ảnh hoạt động</x:v>
      </x:c>
      <x:c r="E9" s="18" t="n">
        <x:v>1</x:v>
      </x:c>
      <x:c r="F9" s="17" t="str">
        <x:v>JPG gốc + WebP</x:v>
      </x:c>
      <x:c r="G9" s="17" t="str">
        <x:v>Máy tính: ảnh ngang 1600 × 1000 pixel
Điện thoại: ảnh dọc 1600 × 2000 pixel
Cắt từ cùng một ảnh gốc</x:v>
      </x:c>
      <x:c r="H9" s="18" t="str">
        <x:v>Cần chụp</x:v>
      </x:c>
      <x:c r="I9" s="17" t="str"/>
    </x:row>
    <x:row r="10" ht="73.5" customHeight="1">
      <x:c r="A10" s="11" t="n">
        <x:v>3</x:v>
      </x:c>
      <x:c r="B10" s="10" t="str"/>
      <x:c r="C10" s="12" t="str">
        <x:v>EXP-02 · Kayak</x:v>
      </x:c>
      <x:c r="D10" s="10" t="str">
        <x:v>Ảnh hoạt động</x:v>
      </x:c>
      <x:c r="E10" s="11" t="n">
        <x:v>1</x:v>
      </x:c>
      <x:c r="F10" s="10" t="str">
        <x:v>JPG gốc + WebP</x:v>
      </x:c>
      <x:c r="G10" s="10" t="str">
        <x:v>Máy tính: ảnh ngang 1600 × 1000 pixel
Điện thoại: ảnh dọc 1600 × 2000 pixel
Cắt từ cùng một ảnh gốc</x:v>
      </x:c>
      <x:c r="H10" s="11" t="str">
        <x:v>Cần chụp</x:v>
      </x:c>
      <x:c r="I10" s="10" t="str"/>
    </x:row>
    <x:row r="11" ht="73.5" customHeight="1">
      <x:c r="A11" s="18" t="n">
        <x:v>4</x:v>
      </x:c>
      <x:c r="B11" s="17" t="str"/>
      <x:c r="C11" s="19" t="str">
        <x:v>EXP-03 · Bể bơi</x:v>
      </x:c>
      <x:c r="D11" s="17" t="str">
        <x:v>Ảnh hoạt động</x:v>
      </x:c>
      <x:c r="E11" s="18" t="n">
        <x:v>1</x:v>
      </x:c>
      <x:c r="F11" s="17" t="str">
        <x:v>JPG gốc + WebP</x:v>
      </x:c>
      <x:c r="G11" s="17" t="str">
        <x:v>Máy tính: ảnh ngang 1600 × 1000 pixel
Điện thoại: ảnh dọc 1600 × 2000 pixel
Cắt từ cùng một ảnh gốc</x:v>
      </x:c>
      <x:c r="H11" s="18" t="str">
        <x:v>Cần chụp</x:v>
      </x:c>
      <x:c r="I11" s="17" t="str"/>
    </x:row>
    <x:row r="12" ht="73.5" customHeight="1">
      <x:c r="A12" s="11" t="n">
        <x:v>5</x:v>
      </x:c>
      <x:c r="B12" s="10" t="str"/>
      <x:c r="C12" s="12" t="str">
        <x:v>EXP-04 · Xe đạp</x:v>
      </x:c>
      <x:c r="D12" s="10" t="str">
        <x:v>Ảnh hoạt động</x:v>
      </x:c>
      <x:c r="E12" s="11" t="n">
        <x:v>1</x:v>
      </x:c>
      <x:c r="F12" s="10" t="str">
        <x:v>JPG gốc + WebP</x:v>
      </x:c>
      <x:c r="G12" s="10" t="str">
        <x:v>Máy tính: ảnh ngang 1600 × 1000 pixel
Điện thoại: ảnh dọc 1600 × 2000 pixel
Cắt từ cùng một ảnh gốc</x:v>
      </x:c>
      <x:c r="H12" s="11" t="str">
        <x:v>Cần chụp</x:v>
      </x:c>
      <x:c r="I12" s="10" t="str"/>
    </x:row>
    <x:row r="13" ht="18" customHeight="1">
      <x:c r="A13" s="3" t="str">
        <x:v>HOẠT ĐỘNG TRONG NHÀ</x:v>
      </x:c>
      <x:c r="B13" s="4"/>
      <x:c r="C13" s="4"/>
      <x:c r="D13" s="4"/>
      <x:c r="E13" s="4"/>
      <x:c r="F13" s="4"/>
      <x:c r="G13" s="4"/>
      <x:c r="H13" s="4"/>
      <x:c r="I13" s="5"/>
    </x:row>
    <x:row r="14" ht="61.5" customHeight="1">
      <x:c r="A14" s="18" t="n">
        <x:v>6</x:v>
      </x:c>
      <x:c r="B14" s="17" t="str"/>
      <x:c r="C14" s="19" t="str">
        <x:v>EXP-05 · Boardgame</x:v>
      </x:c>
      <x:c r="D14" s="17" t="str">
        <x:v>Ảnh hoạt động</x:v>
      </x:c>
      <x:c r="E14" s="18" t="n">
        <x:v>1</x:v>
      </x:c>
      <x:c r="F14" s="17" t="str">
        <x:v>JPG gốc + WebP</x:v>
      </x:c>
      <x:c r="G14" s="17" t="str">
        <x:v>Máy tính và điện thoại: ảnh ngang 1600 × 1000 pixel</x:v>
      </x:c>
      <x:c r="H14" s="18" t="str">
        <x:v>Cần chụp</x:v>
      </x:c>
      <x:c r="I14" s="17" t="str"/>
    </x:row>
    <x:row r="15" ht="61.5" customHeight="1">
      <x:c r="A15" s="11" t="n">
        <x:v>7</x:v>
      </x:c>
      <x:c r="B15" s="10" t="str"/>
      <x:c r="C15" s="12" t="str">
        <x:v>EXP-06 · Billiards</x:v>
      </x:c>
      <x:c r="D15" s="10" t="str">
        <x:v>Ảnh hoạt động</x:v>
      </x:c>
      <x:c r="E15" s="11" t="n">
        <x:v>1</x:v>
      </x:c>
      <x:c r="F15" s="10" t="str">
        <x:v>JPG gốc + WebP</x:v>
      </x:c>
      <x:c r="G15" s="10" t="str">
        <x:v>Máy tính và điện thoại: ảnh ngang 1600 × 1000 pixel</x:v>
      </x:c>
      <x:c r="H15" s="11" t="str">
        <x:v>Cần chụp</x:v>
      </x:c>
      <x:c r="I15" s="10" t="str"/>
    </x:row>
    <x:row r="17" ht="22.5" customHeight="1">
      <x:c r="A17" s="22" t="str">
        <x:v>TỔNG ẢNH GỐC CẦN CHỤP</x:v>
      </x:c>
      <x:c r="B17" s="22"/>
      <x:c r="C17" s="22"/>
      <x:c r="D17" s="22"/>
      <x:c r="E17" s="23" t="n">
        <x:f>SUMIFS($E$6:$E$15,$H$6:$H$15,"Cần chụp")</x:f>
        <x:v>6</x:v>
      </x:c>
      <x:c r="F17" s="22" t="str">
        <x:v>Ảnh cho máy tính và điện thoại được cắt từ cùng ảnh gốc</x:v>
      </x:c>
      <x:c r="G17" s="22"/>
      <x:c r="H17" s="22"/>
      <x:c r="I17" s="22"/>
    </x:row>
    <x:row r="18" ht="22.5" customHeight="1">
      <x:c r="A18" s="26" t="str">
        <x:v>FILE / ĐỒ HỌA KHÁC CẦN XỬ LÝ</x:v>
      </x:c>
      <x:c r="B18" s="26"/>
      <x:c r="C18" s="26"/>
      <x:c r="D18" s="26"/>
      <x:c r="E18" s="27" t="n">
        <x:f>SUMIFS($E$6:$E$15,$H$6:$H$15,"&lt;&gt;Cần chụp",$H$6:$H$15,"&lt;&gt;Tái sử dụng",$H$6:$H$15,"&lt;&gt;Không cần ảnh",$H$6:$H$15,"&lt;&gt;Có sẵn")</x:f>
        <x:v>0</x:v>
      </x:c>
      <x:c r="F18" s="26" t="str">
        <x:v>Gồm file cần tối ưu, thiết kế hoặc xuất</x:v>
      </x:c>
      <x:c r="G18" s="26"/>
      <x:c r="H18" s="26"/>
      <x:c r="I18" s="26"/>
    </x:row>
  </x:sheetData>
  <x:mergeCells>
    <x:mergeCell ref="A6:I6"/>
    <x:mergeCell ref="A8:I8"/>
    <x:mergeCell ref="A13:I13"/>
    <x:mergeCell ref="A17:D17"/>
    <x:mergeCell ref="F17:I17"/>
    <x:mergeCell ref="A18:D18"/>
    <x:mergeCell ref="F18:I18"/>
    <x:mergeCell ref="A1:I1"/>
    <x:mergeCell ref="A2:I2"/>
    <x:mergeCell ref="A3:I3"/>
    <x:mergeCell ref="A4:A5"/>
    <x:mergeCell ref="D4:D5"/>
    <x:mergeCell ref="E4:E5"/>
    <x:mergeCell ref="F4:F5"/>
    <x:mergeCell ref="G4:G5"/>
    <x:mergeCell ref="H4:H5"/>
    <x:mergeCell ref="I4:I5"/>
    <x:mergeCell ref="B4:C4"/>
  </x:mergeCells>
  <x:conditionalFormatting sqref="H6:H15">
    <x:cfRule type="containsText" dxfId="14" priority="1" operator="containsText" text="Cần chụp"/>
    <x:cfRule type="containsText" dxfId="15" priority="2" operator="containsText" text="Tái sử dụng"/>
    <x:cfRule type="containsText" dxfId="16" priority="3" operator="containsText" text="Có sẵn"/>
    <x:cfRule type="containsText" dxfId="17" priority="4" operator="containsText" text="Có sẵn · cần tối ưu"/>
    <x:cfRule type="containsText" dxfId="18" priority="5" operator="containsText" text="Cần thiết kế"/>
    <x:cfRule type="containsText" dxfId="19" priority="6" operator="containsText" text="Cần xuất"/>
    <x:cfRule type="containsText" dxfId="20" priority="7" operator="containsText" text="Không cần ảnh"/>
  </x:conditionalFormatting>
  <x:dataValidations count="7">
    <x:dataValidation type="list" sqref="H7">
      <x:formula1>"Cần chụp,Tái sử dụng,Có sẵn,Có sẵn · cần tối ưu,Cần thiết kế,Cần xuất,Không cần ảnh"</x:formula1>
    </x:dataValidation>
    <x:dataValidation type="list" sqref="H9">
      <x:formula1>"Cần chụp,Tái sử dụng,Có sẵn,Có sẵn · cần tối ưu,Cần thiết kế,Cần xuất,Không cần ảnh"</x:formula1>
    </x:dataValidation>
    <x:dataValidation type="list" sqref="H10">
      <x:formula1>"Cần chụp,Tái sử dụng,Có sẵn,Có sẵn · cần tối ưu,Cần thiết kế,Cần xuất,Không cần ảnh"</x:formula1>
    </x:dataValidation>
    <x:dataValidation type="list" sqref="H11">
      <x:formula1>"Cần chụp,Tái sử dụng,Có sẵn,Có sẵn · cần tối ưu,Cần thiết kế,Cần xuất,Không cần ảnh"</x:formula1>
    </x:dataValidation>
    <x:dataValidation type="list" sqref="H12">
      <x:formula1>"Cần chụp,Tái sử dụng,Có sẵn,Có sẵn · cần tối ưu,Cần thiết kế,Cần xuất,Không cần ảnh"</x:formula1>
    </x:dataValidation>
    <x:dataValidation type="list" sqref="H14">
      <x:formula1>"Cần chụp,Tái sử dụng,Có sẵn,Có sẵn · cần tối ưu,Cần thiết kế,Cần xuất,Không cần ảnh"</x:formula1>
    </x:dataValidation>
    <x:dataValidation type="list" sqref="H15">
      <x:formula1>"Cần chụp,Tái sử dụng,Có sẵn,Có sẵn · cần tối ưu,Cần thiết kế,Cần xuất,Không cần ảnh"</x:formula1>
    </x:dataValidation>
  </x:dataValidations>
  <x:pageMargins left="0.7" right="0.7" top="0.75" bottom="0.75" header="0.3" footer="0.3"/>
  <x:drawing xmlns:r="http://schemas.openxmlformats.org/officeDocument/2006/relationships" r:id="R6f4bdb0f230b4cb1"/>
</x:worksheet>
</file>

<file path=xl/worksheets/sheet5.xml><?xml version="1.0" encoding="utf-8"?>
<x:worksheet xmlns:x="http://schemas.openxmlformats.org/spreadsheetml/2006/main">
  <x:sheetPr>
    <x:tabColor rgb="FFC17A5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5" hidden="0" customWidth="1"/>
    <x:col min="2" max="2" width="15.75" hidden="0" customWidth="1"/>
    <x:col min="3" max="3" width="43.75" hidden="0" customWidth="1"/>
    <x:col min="4" max="4" width="17.5" hidden="0" customWidth="1"/>
    <x:col min="5" max="5" width="8.75" hidden="0" customWidth="1"/>
    <x:col min="6" max="6" width="13.75" hidden="0" customWidth="1"/>
    <x:col min="7" max="7" width="48.75" hidden="0" customWidth="1"/>
    <x:col min="8" max="8" width="18.1299991607666" hidden="0" customWidth="1"/>
    <x:col min="9" max="9" width="26.25" hidden="0" customWidth="1"/>
  </x:cols>
  <x:sheetData>
    <x:row r="1" ht="33" customHeight="1">
      <x:c r="A1" s="30" t="str">
        <x:v>LAKA HOMESTAY · ẨM THỰC</x:v>
      </x:c>
      <x:c r="B1" s="30"/>
      <x:c r="C1" s="30"/>
      <x:c r="D1" s="30"/>
      <x:c r="E1" s="30"/>
      <x:c r="F1" s="30"/>
      <x:c r="G1" s="30"/>
      <x:c r="H1" s="30"/>
      <x:c r="I1" s="30"/>
    </x:row>
    <x:row r="2" ht="19.5" customHeight="1">
      <x:c r="A2" s="25" t="str">
        <x:v>Phạm vi: /am-thuc · /en/dining</x:v>
      </x:c>
      <x:c r="B2" s="25"/>
      <x:c r="C2" s="25"/>
      <x:c r="D2" s="25"/>
      <x:c r="E2" s="25"/>
      <x:c r="F2" s="25"/>
      <x:c r="G2" s="25"/>
      <x:c r="H2" s="25"/>
      <x:c r="I2" s="25"/>
    </x:row>
    <x:row r="3" ht="21" customHeight="1">
      <x:c r="A3" s="32" t="str">
        <x:v>Cách đọc: Số lượng là số ảnh gốc cần chụp. Bản dùng cho máy tính và điện thoại được cắt từ cùng một ảnh gốc.</x:v>
      </x:c>
      <x:c r="B3" s="32"/>
      <x:c r="C3" s="32"/>
      <x:c r="D3" s="32"/>
      <x:c r="E3" s="32"/>
      <x:c r="F3" s="32"/>
      <x:c r="G3" s="32"/>
      <x:c r="H3" s="32"/>
      <x:c r="I3" s="32"/>
    </x:row>
    <x:row r="4" ht="21" customHeight="1">
      <x:c r="A4" s="38" t="str">
        <x:v>STT</x:v>
      </x:c>
      <x:c r="B4" s="38" t="str">
        <x:v>VỊ TRÍ (ẢNH + TÊN)</x:v>
      </x:c>
      <x:c r="C4" s="38"/>
      <x:c r="D4" s="38" t="str">
        <x:v>HẠNG MỤC</x:v>
      </x:c>
      <x:c r="E4" s="38" t="str">
        <x:v>SỐ LƯỢNG</x:v>
      </x:c>
      <x:c r="F4" s="38" t="str">
        <x:v>ĐỊNH DẠNG</x:v>
      </x:c>
      <x:c r="G4" s="38" t="str">
        <x:v>KÍCH THƯỚC ẢNH CẦN GIAO</x:v>
      </x:c>
      <x:c r="H4" s="38" t="str">
        <x:v>TRẠNG THÁI</x:v>
      </x:c>
      <x:c r="I4" s="38" t="str">
        <x:v>GHI CHÚ</x:v>
      </x:c>
    </x:row>
    <x:row r="5" ht="21" customHeight="1">
      <x:c r="A5" s="38"/>
      <x:c r="B5" s="38" t="str">
        <x:v>Ảnh UI</x:v>
      </x:c>
      <x:c r="C5" s="38" t="str">
        <x:v>Tên / vị trí</x:v>
      </x:c>
      <x:c r="D5" s="38"/>
      <x:c r="E5" s="38"/>
      <x:c r="F5" s="38"/>
      <x:c r="G5" s="38"/>
      <x:c r="H5" s="38"/>
      <x:c r="I5" s="38"/>
    </x:row>
    <x:row r="6" ht="18" customHeight="1">
      <x:c r="A6" s="3" t="str">
        <x:v>BANNER TRANG</x:v>
      </x:c>
      <x:c r="B6" s="4"/>
      <x:c r="C6" s="4"/>
      <x:c r="D6" s="4"/>
      <x:c r="E6" s="4"/>
      <x:c r="F6" s="4"/>
      <x:c r="G6" s="4"/>
      <x:c r="H6" s="4"/>
      <x:c r="I6" s="5"/>
    </x:row>
    <x:row r="7" ht="73.5" customHeight="1">
      <x:c r="A7" s="11" t="n">
        <x:v>1</x:v>
      </x:c>
      <x:c r="B7" s="10" t="str"/>
      <x:c r="C7" s="12" t="str">
        <x:v>DINING-HERO · /am-thuc</x:v>
      </x:c>
      <x:c r="D7" s="10" t="str">
        <x:v>Ảnh hero</x:v>
      </x:c>
      <x:c r="E7" s="11" t="n">
        <x:v>0</x:v>
      </x:c>
      <x:c r="F7" s="10" t="str">
        <x:v>WebP</x:v>
      </x:c>
      <x:c r="G7" s="10" t="str">
        <x:v>Máy tính: ảnh ngang 2400 × 1350 pixel
Điện thoại: ảnh dọc 1600 × 2000 pixel
Cắt từ cùng một ảnh gốc</x:v>
      </x:c>
      <x:c r="H7" s="11" t="str">
        <x:v>Tái sử dụng</x:v>
      </x:c>
      <x:c r="I7" s="10" t="str"/>
    </x:row>
    <x:row r="8" ht="18" customHeight="1">
      <x:c r="A8" s="3" t="str">
        <x:v>KHÔNG GIAN ẨM THỰC</x:v>
      </x:c>
      <x:c r="B8" s="4"/>
      <x:c r="C8" s="4"/>
      <x:c r="D8" s="4"/>
      <x:c r="E8" s="4"/>
      <x:c r="F8" s="4"/>
      <x:c r="G8" s="4"/>
      <x:c r="H8" s="4"/>
      <x:c r="I8" s="5"/>
    </x:row>
    <x:row r="9" ht="61.5" customHeight="1">
      <x:c r="A9" s="18" t="n">
        <x:v>2</x:v>
      </x:c>
      <x:c r="B9" s="17" t="str"/>
      <x:c r="C9" s="19" t="str">
        <x:v>DINING-01 · Bữa sáng</x:v>
      </x:c>
      <x:c r="D9" s="17" t="str">
        <x:v>Ảnh không gian/món</x:v>
      </x:c>
      <x:c r="E9" s="18" t="n">
        <x:v>1</x:v>
      </x:c>
      <x:c r="F9" s="17" t="str">
        <x:v>JPG gốc + WebP</x:v>
      </x:c>
      <x:c r="G9" s="17" t="str">
        <x:v>Máy tính và điện thoại: ảnh ngang 1600 × 1000 pixel</x:v>
      </x:c>
      <x:c r="H9" s="18" t="str">
        <x:v>Cần chụp</x:v>
      </x:c>
      <x:c r="I9" s="17" t="str"/>
    </x:row>
    <x:row r="10" ht="61.5" customHeight="1">
      <x:c r="A10" s="11" t="n">
        <x:v>3</x:v>
      </x:c>
      <x:c r="B10" s="10" t="str"/>
      <x:c r="C10" s="12" t="str">
        <x:v>DINING-02 · Nhà hàng ven hồ</x:v>
      </x:c>
      <x:c r="D10" s="10" t="str">
        <x:v>Ảnh không gian</x:v>
      </x:c>
      <x:c r="E10" s="11" t="n">
        <x:v>1</x:v>
      </x:c>
      <x:c r="F10" s="10" t="str">
        <x:v>JPG gốc + WebP</x:v>
      </x:c>
      <x:c r="G10" s="10" t="str">
        <x:v>Máy tính và điện thoại: ảnh ngang 1600 × 1000 pixel</x:v>
      </x:c>
      <x:c r="H10" s="11" t="str">
        <x:v>Cần chụp</x:v>
      </x:c>
      <x:c r="I10" s="10" t="str"/>
    </x:row>
    <x:row r="11" ht="61.5" customHeight="1">
      <x:c r="A11" s="18" t="n">
        <x:v>4</x:v>
      </x:c>
      <x:c r="B11" s="17" t="str"/>
      <x:c r="C11" s="19" t="str">
        <x:v>DINING-03 · Cloud Café</x:v>
      </x:c>
      <x:c r="D11" s="17" t="str">
        <x:v>Ảnh không gian</x:v>
      </x:c>
      <x:c r="E11" s="18" t="n">
        <x:v>1</x:v>
      </x:c>
      <x:c r="F11" s="17" t="str">
        <x:v>JPG gốc + WebP</x:v>
      </x:c>
      <x:c r="G11" s="17" t="str">
        <x:v>Máy tính và điện thoại: ảnh ngang 1600 × 1000 pixel</x:v>
      </x:c>
      <x:c r="H11" s="18" t="str">
        <x:v>Cần chụp</x:v>
      </x:c>
      <x:c r="I11" s="17" t="str"/>
    </x:row>
    <x:row r="12" ht="18" customHeight="1">
      <x:c r="A12" s="3" t="str">
        <x:v>MENU</x:v>
      </x:c>
      <x:c r="B12" s="4"/>
      <x:c r="C12" s="4"/>
      <x:c r="D12" s="4"/>
      <x:c r="E12" s="4"/>
      <x:c r="F12" s="4"/>
      <x:c r="G12" s="4"/>
      <x:c r="H12" s="4"/>
      <x:c r="I12" s="5"/>
    </x:row>
    <x:row r="13" ht="61.5" customHeight="1">
      <x:c r="A13" s="11" t="n">
        <x:v>5</x:v>
      </x:c>
      <x:c r="B13" s="10" t="str"/>
      <x:c r="C13" s="12" t="str">
        <x:v>DINING-MENU-01..10 · 10 trang menu</x:v>
      </x:c>
      <x:c r="D13" s="10" t="str">
        <x:v>Ảnh scan/menu</x:v>
      </x:c>
      <x:c r="E13" s="11" t="n">
        <x:v>10</x:v>
      </x:c>
      <x:c r="F13" s="10" t="str">
        <x:v>WebP sRGB</x:v>
      </x:c>
      <x:c r="G13" s="10" t="str">
        <x:v>Mỗi trang menu: ảnh dọc khổ A4, 1200 × 1697 pixel
Dung lượng tối đa 500 KB mỗi file</x:v>
      </x:c>
      <x:c r="H13" s="11" t="str">
        <x:v>Có sẵn · cần tối ưu</x:v>
      </x:c>
      <x:c r="I13" s="10" t="str"/>
    </x:row>
    <x:row r="15" ht="22.5" customHeight="1">
      <x:c r="A15" s="22" t="str">
        <x:v>TỔNG ẢNH GỐC CẦN CHỤP</x:v>
      </x:c>
      <x:c r="B15" s="22"/>
      <x:c r="C15" s="22"/>
      <x:c r="D15" s="22"/>
      <x:c r="E15" s="23" t="n">
        <x:f>SUMIFS($E$6:$E$13,$H$6:$H$13,"Cần chụp")</x:f>
        <x:v>3</x:v>
      </x:c>
      <x:c r="F15" s="22" t="str">
        <x:v>Ảnh cho máy tính và điện thoại được cắt từ cùng ảnh gốc</x:v>
      </x:c>
      <x:c r="G15" s="22"/>
      <x:c r="H15" s="22"/>
      <x:c r="I15" s="22"/>
    </x:row>
    <x:row r="16" ht="22.5" customHeight="1">
      <x:c r="A16" s="26" t="str">
        <x:v>FILE / ĐỒ HỌA KHÁC CẦN XỬ LÝ</x:v>
      </x:c>
      <x:c r="B16" s="26"/>
      <x:c r="C16" s="26"/>
      <x:c r="D16" s="26"/>
      <x:c r="E16" s="27" t="n">
        <x:f>SUMIFS($E$6:$E$13,$H$6:$H$13,"&lt;&gt;Cần chụp",$H$6:$H$13,"&lt;&gt;Tái sử dụng",$H$6:$H$13,"&lt;&gt;Không cần ảnh",$H$6:$H$13,"&lt;&gt;Có sẵn")</x:f>
        <x:v>10</x:v>
      </x:c>
      <x:c r="F16" s="26" t="str">
        <x:v>Gồm file cần tối ưu, thiết kế hoặc xuất</x:v>
      </x:c>
      <x:c r="G16" s="26"/>
      <x:c r="H16" s="26"/>
      <x:c r="I16" s="26"/>
    </x:row>
  </x:sheetData>
  <x:mergeCells>
    <x:mergeCell ref="A6:I6"/>
    <x:mergeCell ref="A8:I8"/>
    <x:mergeCell ref="A12:I12"/>
    <x:mergeCell ref="A15:D15"/>
    <x:mergeCell ref="F15:I15"/>
    <x:mergeCell ref="A16:D16"/>
    <x:mergeCell ref="F16:I16"/>
    <x:mergeCell ref="A1:I1"/>
    <x:mergeCell ref="A2:I2"/>
    <x:mergeCell ref="A3:I3"/>
    <x:mergeCell ref="A4:A5"/>
    <x:mergeCell ref="D4:D5"/>
    <x:mergeCell ref="E4:E5"/>
    <x:mergeCell ref="F4:F5"/>
    <x:mergeCell ref="G4:G5"/>
    <x:mergeCell ref="H4:H5"/>
    <x:mergeCell ref="I4:I5"/>
    <x:mergeCell ref="B4:C4"/>
  </x:mergeCells>
  <x:conditionalFormatting sqref="H6:H13">
    <x:cfRule type="containsText" dxfId="21" priority="1" operator="containsText" text="Cần chụp"/>
    <x:cfRule type="containsText" dxfId="22" priority="2" operator="containsText" text="Tái sử dụng"/>
    <x:cfRule type="containsText" dxfId="23" priority="3" operator="containsText" text="Có sẵn"/>
    <x:cfRule type="containsText" dxfId="24" priority="4" operator="containsText" text="Có sẵn · cần tối ưu"/>
    <x:cfRule type="containsText" dxfId="25" priority="5" operator="containsText" text="Cần thiết kế"/>
    <x:cfRule type="containsText" dxfId="26" priority="6" operator="containsText" text="Cần xuất"/>
    <x:cfRule type="containsText" dxfId="27" priority="7" operator="containsText" text="Không cần ảnh"/>
  </x:conditionalFormatting>
  <x:dataValidations count="5">
    <x:dataValidation type="list" sqref="H7">
      <x:formula1>"Cần chụp,Tái sử dụng,Có sẵn,Có sẵn · cần tối ưu,Cần thiết kế,Cần xuất,Không cần ảnh"</x:formula1>
    </x:dataValidation>
    <x:dataValidation type="list" sqref="H9">
      <x:formula1>"Cần chụp,Tái sử dụng,Có sẵn,Có sẵn · cần tối ưu,Cần thiết kế,Cần xuất,Không cần ảnh"</x:formula1>
    </x:dataValidation>
    <x:dataValidation type="list" sqref="H10">
      <x:formula1>"Cần chụp,Tái sử dụng,Có sẵn,Có sẵn · cần tối ưu,Cần thiết kế,Cần xuất,Không cần ảnh"</x:formula1>
    </x:dataValidation>
    <x:dataValidation type="list" sqref="H11">
      <x:formula1>"Cần chụp,Tái sử dụng,Có sẵn,Có sẵn · cần tối ưu,Cần thiết kế,Cần xuất,Không cần ảnh"</x:formula1>
    </x:dataValidation>
    <x:dataValidation type="list" sqref="H13">
      <x:formula1>"Cần chụp,Tái sử dụng,Có sẵn,Có sẵn · cần tối ưu,Cần thiết kế,Cần xuất,Không cần ảnh"</x:formula1>
    </x:dataValidation>
  </x:dataValidations>
  <x:pageMargins left="0.7" right="0.7" top="0.75" bottom="0.75" header="0.3" footer="0.3"/>
  <x:drawing xmlns:r="http://schemas.openxmlformats.org/officeDocument/2006/relationships" r:id="Ra7517a662071487c"/>
</x:worksheet>
</file>

<file path=xl/worksheets/sheet6.xml><?xml version="1.0" encoding="utf-8"?>
<x:worksheet xmlns:x="http://schemas.openxmlformats.org/spreadsheetml/2006/main">
  <x:sheetPr>
    <x:tabColor rgb="FF806B9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5" hidden="0" customWidth="1"/>
    <x:col min="2" max="2" width="15.75" hidden="0" customWidth="1"/>
    <x:col min="3" max="3" width="43.75" hidden="0" customWidth="1"/>
    <x:col min="4" max="4" width="17.5" hidden="0" customWidth="1"/>
    <x:col min="5" max="5" width="8.75" hidden="0" customWidth="1"/>
    <x:col min="6" max="6" width="13.75" hidden="0" customWidth="1"/>
    <x:col min="7" max="7" width="48.75" hidden="0" customWidth="1"/>
    <x:col min="8" max="8" width="18.1299991607666" hidden="0" customWidth="1"/>
    <x:col min="9" max="9" width="26.25" hidden="0" customWidth="1"/>
  </x:cols>
  <x:sheetData>
    <x:row r="1" ht="33" customHeight="1">
      <x:c r="A1" s="30" t="str">
        <x:v>LAKA HOMESTAY · DỊCH VỤ</x:v>
      </x:c>
      <x:c r="B1" s="30"/>
      <x:c r="C1" s="30"/>
      <x:c r="D1" s="30"/>
      <x:c r="E1" s="30"/>
      <x:c r="F1" s="30"/>
      <x:c r="G1" s="30"/>
      <x:c r="H1" s="30"/>
      <x:c r="I1" s="30"/>
    </x:row>
    <x:row r="2" ht="19.5" customHeight="1">
      <x:c r="A2" s="25" t="str">
        <x:v>Phạm vi: /dich-vu · /en/services</x:v>
      </x:c>
      <x:c r="B2" s="25"/>
      <x:c r="C2" s="25"/>
      <x:c r="D2" s="25"/>
      <x:c r="E2" s="25"/>
      <x:c r="F2" s="25"/>
      <x:c r="G2" s="25"/>
      <x:c r="H2" s="25"/>
      <x:c r="I2" s="25"/>
    </x:row>
    <x:row r="3" ht="21" customHeight="1">
      <x:c r="A3" s="32" t="str">
        <x:v>Cách đọc: Số lượng là số ảnh gốc cần chụp. Bản dùng cho máy tính và điện thoại được cắt từ cùng một ảnh gốc.</x:v>
      </x:c>
      <x:c r="B3" s="32"/>
      <x:c r="C3" s="32"/>
      <x:c r="D3" s="32"/>
      <x:c r="E3" s="32"/>
      <x:c r="F3" s="32"/>
      <x:c r="G3" s="32"/>
      <x:c r="H3" s="32"/>
      <x:c r="I3" s="32"/>
    </x:row>
    <x:row r="4" ht="21" customHeight="1">
      <x:c r="A4" s="38" t="str">
        <x:v>STT</x:v>
      </x:c>
      <x:c r="B4" s="38" t="str">
        <x:v>VỊ TRÍ (ẢNH + TÊN)</x:v>
      </x:c>
      <x:c r="C4" s="38"/>
      <x:c r="D4" s="38" t="str">
        <x:v>HẠNG MỤC</x:v>
      </x:c>
      <x:c r="E4" s="38" t="str">
        <x:v>SỐ LƯỢNG</x:v>
      </x:c>
      <x:c r="F4" s="38" t="str">
        <x:v>ĐỊNH DẠNG</x:v>
      </x:c>
      <x:c r="G4" s="38" t="str">
        <x:v>KÍCH THƯỚC ẢNH CẦN GIAO</x:v>
      </x:c>
      <x:c r="H4" s="38" t="str">
        <x:v>TRẠNG THÁI</x:v>
      </x:c>
      <x:c r="I4" s="38" t="str">
        <x:v>GHI CHÚ</x:v>
      </x:c>
    </x:row>
    <x:row r="5" ht="21" customHeight="1">
      <x:c r="A5" s="38"/>
      <x:c r="B5" s="38" t="str">
        <x:v>Ảnh UI</x:v>
      </x:c>
      <x:c r="C5" s="38" t="str">
        <x:v>Tên / vị trí</x:v>
      </x:c>
      <x:c r="D5" s="38"/>
      <x:c r="E5" s="38"/>
      <x:c r="F5" s="38"/>
      <x:c r="G5" s="38"/>
      <x:c r="H5" s="38"/>
      <x:c r="I5" s="38"/>
    </x:row>
    <x:row r="6" ht="18" customHeight="1">
      <x:c r="A6" s="3" t="str">
        <x:v>BANNER TRANG</x:v>
      </x:c>
      <x:c r="B6" s="4"/>
      <x:c r="C6" s="4"/>
      <x:c r="D6" s="4"/>
      <x:c r="E6" s="4"/>
      <x:c r="F6" s="4"/>
      <x:c r="G6" s="4"/>
      <x:c r="H6" s="4"/>
      <x:c r="I6" s="5"/>
    </x:row>
    <x:row r="7" ht="73.5" customHeight="1">
      <x:c r="A7" s="11" t="n">
        <x:v>1</x:v>
      </x:c>
      <x:c r="B7" s="10" t="str"/>
      <x:c r="C7" s="12" t="str">
        <x:v>SERVICE-HERO · /dich-vu</x:v>
      </x:c>
      <x:c r="D7" s="10" t="str">
        <x:v>Ảnh hero</x:v>
      </x:c>
      <x:c r="E7" s="11" t="n">
        <x:v>0</x:v>
      </x:c>
      <x:c r="F7" s="10" t="str">
        <x:v>WebP</x:v>
      </x:c>
      <x:c r="G7" s="10" t="str">
        <x:v>Máy tính: ảnh ngang 2400 × 1350 pixel
Điện thoại: ảnh dọc 1600 × 2000 pixel
Cắt từ cùng một ảnh gốc</x:v>
      </x:c>
      <x:c r="H7" s="11" t="str">
        <x:v>Tái sử dụng</x:v>
      </x:c>
      <x:c r="I7" s="10" t="str"/>
    </x:row>
    <x:row r="8" ht="18" customHeight="1">
      <x:c r="A8" s="3" t="str">
        <x:v>SỰ KIỆN</x:v>
      </x:c>
      <x:c r="B8" s="4"/>
      <x:c r="C8" s="4"/>
      <x:c r="D8" s="4"/>
      <x:c r="E8" s="4"/>
      <x:c r="F8" s="4"/>
      <x:c r="G8" s="4"/>
      <x:c r="H8" s="4"/>
      <x:c r="I8" s="5"/>
    </x:row>
    <x:row r="9" ht="73.5" customHeight="1">
      <x:c r="A9" s="18" t="n">
        <x:v>2</x:v>
      </x:c>
      <x:c r="B9" s="17" t="str"/>
      <x:c r="C9" s="19" t="str">
        <x:v>SERVICE-01 · Team building</x:v>
      </x:c>
      <x:c r="D9" s="17" t="str">
        <x:v>Ảnh dịch vụ</x:v>
      </x:c>
      <x:c r="E9" s="18" t="n">
        <x:v>1</x:v>
      </x:c>
      <x:c r="F9" s="17" t="str">
        <x:v>JPG gốc + WebP</x:v>
      </x:c>
      <x:c r="G9" s="17" t="str">
        <x:v>Máy tính: ảnh dọc 1600 × 2400 pixel
Điện thoại: ảnh dọc 1200 × 1920 pixel
Cắt từ cùng một ảnh gốc</x:v>
      </x:c>
      <x:c r="H9" s="18" t="str">
        <x:v>Cần chụp</x:v>
      </x:c>
      <x:c r="I9" s="17" t="str"/>
    </x:row>
    <x:row r="10" ht="73.5" customHeight="1">
      <x:c r="A10" s="11" t="n">
        <x:v>3</x:v>
      </x:c>
      <x:c r="B10" s="10" t="str"/>
      <x:c r="C10" s="12" t="str">
        <x:v>SERVICE-02 · Tiệc ngoài trời</x:v>
      </x:c>
      <x:c r="D10" s="10" t="str">
        <x:v>Ảnh dịch vụ</x:v>
      </x:c>
      <x:c r="E10" s="11" t="n">
        <x:v>1</x:v>
      </x:c>
      <x:c r="F10" s="10" t="str">
        <x:v>JPG gốc + WebP</x:v>
      </x:c>
      <x:c r="G10" s="10" t="str">
        <x:v>Máy tính: ảnh dọc 1600 × 2400 pixel
Điện thoại: ảnh dọc 1200 × 1920 pixel
Cắt từ cùng một ảnh gốc</x:v>
      </x:c>
      <x:c r="H10" s="11" t="str">
        <x:v>Cần chụp</x:v>
      </x:c>
      <x:c r="I10" s="10" t="str"/>
    </x:row>
    <x:row r="11" ht="73.5" customHeight="1">
      <x:c r="A11" s="18" t="n">
        <x:v>4</x:v>
      </x:c>
      <x:c r="B11" s="17" t="str"/>
      <x:c r="C11" s="19" t="str">
        <x:v>SERVICE-03 · Lửa trại</x:v>
      </x:c>
      <x:c r="D11" s="17" t="str">
        <x:v>Ảnh dịch vụ</x:v>
      </x:c>
      <x:c r="E11" s="18" t="n">
        <x:v>1</x:v>
      </x:c>
      <x:c r="F11" s="17" t="str">
        <x:v>JPG gốc + WebP</x:v>
      </x:c>
      <x:c r="G11" s="17" t="str">
        <x:v>Máy tính: ảnh dọc 1600 × 2400 pixel
Điện thoại: ảnh dọc 1200 × 1920 pixel
Cắt từ cùng một ảnh gốc</x:v>
      </x:c>
      <x:c r="H11" s="18" t="str">
        <x:v>Cần chụp</x:v>
      </x:c>
      <x:c r="I11" s="17" t="str"/>
    </x:row>
    <x:row r="12" ht="18" customHeight="1">
      <x:c r="A12" s="3" t="str">
        <x:v>TIỆN ÍCH CHUNG</x:v>
      </x:c>
      <x:c r="B12" s="4"/>
      <x:c r="C12" s="4"/>
      <x:c r="D12" s="4"/>
      <x:c r="E12" s="4"/>
      <x:c r="F12" s="4"/>
      <x:c r="G12" s="4"/>
      <x:c r="H12" s="4"/>
      <x:c r="I12" s="5"/>
    </x:row>
    <x:row r="13" ht="61.5" customHeight="1">
      <x:c r="A13" s="11" t="n">
        <x:v>5</x:v>
      </x:c>
      <x:c r="B13" s="10" t="str"/>
      <x:c r="C13" s="12" t="str">
        <x:v>SERVICE-SHARED-01..05 · 5 tiện ích</x:v>
      </x:c>
      <x:c r="D13" s="10" t="str">
        <x:v>Ảnh tiện ích</x:v>
      </x:c>
      <x:c r="E13" s="11" t="n">
        <x:v>0</x:v>
      </x:c>
      <x:c r="F13" s="10" t="str">
        <x:v>WebP</x:v>
      </x:c>
      <x:c r="G13" s="10" t="str">
        <x:v>Máy tính và điện thoại: ảnh ngang 1600 × 1200 pixel</x:v>
      </x:c>
      <x:c r="H13" s="11" t="str">
        <x:v>Tái sử dụng</x:v>
      </x:c>
      <x:c r="I13" s="10" t="str"/>
    </x:row>
    <x:row r="15" ht="22.5" customHeight="1">
      <x:c r="A15" s="22" t="str">
        <x:v>TỔNG ẢNH GỐC CẦN CHỤP</x:v>
      </x:c>
      <x:c r="B15" s="22"/>
      <x:c r="C15" s="22"/>
      <x:c r="D15" s="22"/>
      <x:c r="E15" s="23" t="n">
        <x:f>SUMIFS($E$6:$E$13,$H$6:$H$13,"Cần chụp")</x:f>
        <x:v>3</x:v>
      </x:c>
      <x:c r="F15" s="22" t="str">
        <x:v>Ảnh cho máy tính và điện thoại được cắt từ cùng ảnh gốc</x:v>
      </x:c>
      <x:c r="G15" s="22"/>
      <x:c r="H15" s="22"/>
      <x:c r="I15" s="22"/>
    </x:row>
    <x:row r="16" ht="22.5" customHeight="1">
      <x:c r="A16" s="26" t="str">
        <x:v>FILE / ĐỒ HỌA KHÁC CẦN XỬ LÝ</x:v>
      </x:c>
      <x:c r="B16" s="26"/>
      <x:c r="C16" s="26"/>
      <x:c r="D16" s="26"/>
      <x:c r="E16" s="27" t="n">
        <x:f>SUMIFS($E$6:$E$13,$H$6:$H$13,"&lt;&gt;Cần chụp",$H$6:$H$13,"&lt;&gt;Tái sử dụng",$H$6:$H$13,"&lt;&gt;Không cần ảnh",$H$6:$H$13,"&lt;&gt;Có sẵn")</x:f>
        <x:v>0</x:v>
      </x:c>
      <x:c r="F16" s="26" t="str">
        <x:v>Gồm file cần tối ưu, thiết kế hoặc xuất</x:v>
      </x:c>
      <x:c r="G16" s="26"/>
      <x:c r="H16" s="26"/>
      <x:c r="I16" s="26"/>
    </x:row>
  </x:sheetData>
  <x:mergeCells>
    <x:mergeCell ref="A6:I6"/>
    <x:mergeCell ref="A8:I8"/>
    <x:mergeCell ref="A12:I12"/>
    <x:mergeCell ref="A15:D15"/>
    <x:mergeCell ref="F15:I15"/>
    <x:mergeCell ref="A16:D16"/>
    <x:mergeCell ref="F16:I16"/>
    <x:mergeCell ref="A1:I1"/>
    <x:mergeCell ref="A2:I2"/>
    <x:mergeCell ref="A3:I3"/>
    <x:mergeCell ref="A4:A5"/>
    <x:mergeCell ref="D4:D5"/>
    <x:mergeCell ref="E4:E5"/>
    <x:mergeCell ref="F4:F5"/>
    <x:mergeCell ref="G4:G5"/>
    <x:mergeCell ref="H4:H5"/>
    <x:mergeCell ref="I4:I5"/>
    <x:mergeCell ref="B4:C4"/>
  </x:mergeCells>
  <x:conditionalFormatting sqref="H6:H13">
    <x:cfRule type="containsText" dxfId="28" priority="1" operator="containsText" text="Cần chụp"/>
    <x:cfRule type="containsText" dxfId="29" priority="2" operator="containsText" text="Tái sử dụng"/>
    <x:cfRule type="containsText" dxfId="30" priority="3" operator="containsText" text="Có sẵn"/>
    <x:cfRule type="containsText" dxfId="31" priority="4" operator="containsText" text="Có sẵn · cần tối ưu"/>
    <x:cfRule type="containsText" dxfId="32" priority="5" operator="containsText" text="Cần thiết kế"/>
    <x:cfRule type="containsText" dxfId="33" priority="6" operator="containsText" text="Cần xuất"/>
    <x:cfRule type="containsText" dxfId="34" priority="7" operator="containsText" text="Không cần ảnh"/>
  </x:conditionalFormatting>
  <x:dataValidations count="5">
    <x:dataValidation type="list" sqref="H7">
      <x:formula1>"Cần chụp,Tái sử dụng,Có sẵn,Có sẵn · cần tối ưu,Cần thiết kế,Cần xuất,Không cần ảnh"</x:formula1>
    </x:dataValidation>
    <x:dataValidation type="list" sqref="H9">
      <x:formula1>"Cần chụp,Tái sử dụng,Có sẵn,Có sẵn · cần tối ưu,Cần thiết kế,Cần xuất,Không cần ảnh"</x:formula1>
    </x:dataValidation>
    <x:dataValidation type="list" sqref="H10">
      <x:formula1>"Cần chụp,Tái sử dụng,Có sẵn,Có sẵn · cần tối ưu,Cần thiết kế,Cần xuất,Không cần ảnh"</x:formula1>
    </x:dataValidation>
    <x:dataValidation type="list" sqref="H11">
      <x:formula1>"Cần chụp,Tái sử dụng,Có sẵn,Có sẵn · cần tối ưu,Cần thiết kế,Cần xuất,Không cần ảnh"</x:formula1>
    </x:dataValidation>
    <x:dataValidation type="list" sqref="H13">
      <x:formula1>"Cần chụp,Tái sử dụng,Có sẵn,Có sẵn · cần tối ưu,Cần thiết kế,Cần xuất,Không cần ảnh"</x:formula1>
    </x:dataValidation>
  </x:dataValidations>
  <x:pageMargins left="0.7" right="0.7" top="0.75" bottom="0.75" header="0.3" footer="0.3"/>
  <x:drawing xmlns:r="http://schemas.openxmlformats.org/officeDocument/2006/relationships" r:id="R6d891c1074f34ac8"/>
</x:worksheet>
</file>

<file path=xl/worksheets/sheet7.xml><?xml version="1.0" encoding="utf-8"?>
<x:worksheet xmlns:x="http://schemas.openxmlformats.org/spreadsheetml/2006/main">
  <x:sheetPr>
    <x:tabColor rgb="FF78905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5" hidden="0" customWidth="1"/>
    <x:col min="2" max="2" width="15.75" hidden="0" customWidth="1"/>
    <x:col min="3" max="3" width="43.75" hidden="0" customWidth="1"/>
    <x:col min="4" max="4" width="17.5" hidden="0" customWidth="1"/>
    <x:col min="5" max="5" width="8.75" hidden="0" customWidth="1"/>
    <x:col min="6" max="6" width="13.75" hidden="0" customWidth="1"/>
    <x:col min="7" max="7" width="48.75" hidden="0" customWidth="1"/>
    <x:col min="8" max="8" width="18.1299991607666" hidden="0" customWidth="1"/>
    <x:col min="9" max="9" width="26.25" hidden="0" customWidth="1"/>
  </x:cols>
  <x:sheetData>
    <x:row r="1" ht="33" customHeight="1">
      <x:c r="A1" s="30" t="str">
        <x:v>LAKA HOMESTAY · VỀ LAKA</x:v>
      </x:c>
      <x:c r="B1" s="30"/>
      <x:c r="C1" s="30"/>
      <x:c r="D1" s="30"/>
      <x:c r="E1" s="30"/>
      <x:c r="F1" s="30"/>
      <x:c r="G1" s="30"/>
      <x:c r="H1" s="30"/>
      <x:c r="I1" s="30"/>
    </x:row>
    <x:row r="2" ht="19.5" customHeight="1">
      <x:c r="A2" s="25" t="str">
        <x:v>Phạm vi: /ve-laka · /en/about</x:v>
      </x:c>
      <x:c r="B2" s="25"/>
      <x:c r="C2" s="25"/>
      <x:c r="D2" s="25"/>
      <x:c r="E2" s="25"/>
      <x:c r="F2" s="25"/>
      <x:c r="G2" s="25"/>
      <x:c r="H2" s="25"/>
      <x:c r="I2" s="25"/>
    </x:row>
    <x:row r="3" ht="21" customHeight="1">
      <x:c r="A3" s="32" t="str">
        <x:v>Cách đọc: Số lượng là số ảnh gốc cần chụp. Bản dùng cho máy tính và điện thoại được cắt từ cùng một ảnh gốc.</x:v>
      </x:c>
      <x:c r="B3" s="32"/>
      <x:c r="C3" s="32"/>
      <x:c r="D3" s="32"/>
      <x:c r="E3" s="32"/>
      <x:c r="F3" s="32"/>
      <x:c r="G3" s="32"/>
      <x:c r="H3" s="32"/>
      <x:c r="I3" s="32"/>
    </x:row>
    <x:row r="4" ht="21" customHeight="1">
      <x:c r="A4" s="38" t="str">
        <x:v>STT</x:v>
      </x:c>
      <x:c r="B4" s="38" t="str">
        <x:v>VỊ TRÍ (ẢNH + TÊN)</x:v>
      </x:c>
      <x:c r="C4" s="38"/>
      <x:c r="D4" s="38" t="str">
        <x:v>HẠNG MỤC</x:v>
      </x:c>
      <x:c r="E4" s="38" t="str">
        <x:v>SỐ LƯỢNG</x:v>
      </x:c>
      <x:c r="F4" s="38" t="str">
        <x:v>ĐỊNH DẠNG</x:v>
      </x:c>
      <x:c r="G4" s="38" t="str">
        <x:v>KÍCH THƯỚC ẢNH CẦN GIAO</x:v>
      </x:c>
      <x:c r="H4" s="38" t="str">
        <x:v>TRẠNG THÁI</x:v>
      </x:c>
      <x:c r="I4" s="38" t="str">
        <x:v>GHI CHÚ</x:v>
      </x:c>
    </x:row>
    <x:row r="5" ht="21" customHeight="1">
      <x:c r="A5" s="38"/>
      <x:c r="B5" s="38" t="str">
        <x:v>Ảnh UI</x:v>
      </x:c>
      <x:c r="C5" s="38" t="str">
        <x:v>Tên / vị trí</x:v>
      </x:c>
      <x:c r="D5" s="38"/>
      <x:c r="E5" s="38"/>
      <x:c r="F5" s="38"/>
      <x:c r="G5" s="38"/>
      <x:c r="H5" s="38"/>
      <x:c r="I5" s="38"/>
    </x:row>
    <x:row r="6" ht="18" customHeight="1">
      <x:c r="A6" s="3" t="str">
        <x:v>BANNER TRANG</x:v>
      </x:c>
      <x:c r="B6" s="4"/>
      <x:c r="C6" s="4"/>
      <x:c r="D6" s="4"/>
      <x:c r="E6" s="4"/>
      <x:c r="F6" s="4"/>
      <x:c r="G6" s="4"/>
      <x:c r="H6" s="4"/>
      <x:c r="I6" s="5"/>
    </x:row>
    <x:row r="7" ht="73.5" customHeight="1">
      <x:c r="A7" s="11" t="n">
        <x:v>1</x:v>
      </x:c>
      <x:c r="B7" s="10" t="str"/>
      <x:c r="C7" s="12" t="str">
        <x:v>ABOUT-HERO · /ve-laka</x:v>
      </x:c>
      <x:c r="D7" s="10" t="str">
        <x:v>Ảnh hero</x:v>
      </x:c>
      <x:c r="E7" s="11" t="n">
        <x:v>0</x:v>
      </x:c>
      <x:c r="F7" s="10" t="str">
        <x:v>WebP</x:v>
      </x:c>
      <x:c r="G7" s="10" t="str">
        <x:v>Máy tính: ảnh ngang 2400 × 1350 pixel
Điện thoại: ảnh dọc 1600 × 2000 pixel
Cắt từ cùng một ảnh gốc</x:v>
      </x:c>
      <x:c r="H7" s="11" t="str">
        <x:v>Tái sử dụng</x:v>
      </x:c>
      <x:c r="I7" s="10" t="str"/>
    </x:row>
    <x:row r="8" ht="18" customHeight="1">
      <x:c r="A8" s="3" t="str">
        <x:v>BA TRỤ CỘT</x:v>
      </x:c>
      <x:c r="B8" s="4"/>
      <x:c r="C8" s="4"/>
      <x:c r="D8" s="4"/>
      <x:c r="E8" s="4"/>
      <x:c r="F8" s="4"/>
      <x:c r="G8" s="4"/>
      <x:c r="H8" s="4"/>
      <x:c r="I8" s="5"/>
    </x:row>
    <x:row r="9" ht="61.5" customHeight="1">
      <x:c r="A9" s="18" t="n">
        <x:v>2</x:v>
      </x:c>
      <x:c r="B9" s="17" t="str"/>
      <x:c r="C9" s="19" t="str">
        <x:v>ABOUT-01 · Chạm thiên nhiên</x:v>
      </x:c>
      <x:c r="D9" s="17" t="str">
        <x:v>Ảnh nội dung</x:v>
      </x:c>
      <x:c r="E9" s="18" t="n">
        <x:v>0</x:v>
      </x:c>
      <x:c r="F9" s="17" t="str">
        <x:v>WebP</x:v>
      </x:c>
      <x:c r="G9" s="17" t="str">
        <x:v>Máy tính và điện thoại: ảnh ngang 1600 × 1100 pixel</x:v>
      </x:c>
      <x:c r="H9" s="18" t="str">
        <x:v>Tái sử dụng</x:v>
      </x:c>
      <x:c r="I9" s="17" t="str"/>
    </x:row>
    <x:row r="10" ht="61.5" customHeight="1">
      <x:c r="A10" s="11" t="n">
        <x:v>3</x:v>
      </x:c>
      <x:c r="B10" s="10" t="str"/>
      <x:c r="C10" s="12" t="str">
        <x:v>ABOUT-02 · Không gian nghỉ</x:v>
      </x:c>
      <x:c r="D10" s="10" t="str">
        <x:v>Ảnh nội dung</x:v>
      </x:c>
      <x:c r="E10" s="11" t="n">
        <x:v>0</x:v>
      </x:c>
      <x:c r="F10" s="10" t="str">
        <x:v>WebP</x:v>
      </x:c>
      <x:c r="G10" s="10" t="str">
        <x:v>Máy tính và điện thoại: ảnh ngang 1600 × 1100 pixel</x:v>
      </x:c>
      <x:c r="H10" s="11" t="str">
        <x:v>Tái sử dụng</x:v>
      </x:c>
      <x:c r="I10" s="10" t="str"/>
    </x:row>
    <x:row r="11" ht="61.5" customHeight="1">
      <x:c r="A11" s="18" t="n">
        <x:v>4</x:v>
      </x:c>
      <x:c r="B11" s="17" t="str"/>
      <x:c r="C11" s="19" t="str">
        <x:v>ABOUT-03 · Kết nối</x:v>
      </x:c>
      <x:c r="D11" s="17" t="str">
        <x:v>Ảnh nội dung</x:v>
      </x:c>
      <x:c r="E11" s="18" t="n">
        <x:v>0</x:v>
      </x:c>
      <x:c r="F11" s="17" t="str">
        <x:v>WebP</x:v>
      </x:c>
      <x:c r="G11" s="17" t="str">
        <x:v>Máy tính và điện thoại: ảnh ngang 1600 × 1100 pixel</x:v>
      </x:c>
      <x:c r="H11" s="18" t="str">
        <x:v>Tái sử dụng</x:v>
      </x:c>
      <x:c r="I11" s="17" t="str"/>
    </x:row>
    <x:row r="13" ht="22.5" customHeight="1">
      <x:c r="A13" s="22" t="str">
        <x:v>TỔNG ẢNH GỐC CẦN CHỤP</x:v>
      </x:c>
      <x:c r="B13" s="22"/>
      <x:c r="C13" s="22"/>
      <x:c r="D13" s="22"/>
      <x:c r="E13" s="23" t="n">
        <x:f>SUMIFS($E$6:$E$11,$H$6:$H$11,"Cần chụp")</x:f>
        <x:v>0</x:v>
      </x:c>
      <x:c r="F13" s="22" t="str">
        <x:v>Ảnh cho máy tính và điện thoại được cắt từ cùng ảnh gốc</x:v>
      </x:c>
      <x:c r="G13" s="22"/>
      <x:c r="H13" s="22"/>
      <x:c r="I13" s="22"/>
    </x:row>
    <x:row r="14" ht="22.5" customHeight="1">
      <x:c r="A14" s="26" t="str">
        <x:v>FILE / ĐỒ HỌA KHÁC CẦN XỬ LÝ</x:v>
      </x:c>
      <x:c r="B14" s="26"/>
      <x:c r="C14" s="26"/>
      <x:c r="D14" s="26"/>
      <x:c r="E14" s="27" t="n">
        <x:f>SUMIFS($E$6:$E$11,$H$6:$H$11,"&lt;&gt;Cần chụp",$H$6:$H$11,"&lt;&gt;Tái sử dụng",$H$6:$H$11,"&lt;&gt;Không cần ảnh",$H$6:$H$11,"&lt;&gt;Có sẵn")</x:f>
        <x:v>0</x:v>
      </x:c>
      <x:c r="F14" s="26" t="str">
        <x:v>Gồm file cần tối ưu, thiết kế hoặc xuất</x:v>
      </x:c>
      <x:c r="G14" s="26"/>
      <x:c r="H14" s="26"/>
      <x:c r="I14" s="26"/>
    </x:row>
  </x:sheetData>
  <x:mergeCells>
    <x:mergeCell ref="A6:I6"/>
    <x:mergeCell ref="A8:I8"/>
    <x:mergeCell ref="A13:D13"/>
    <x:mergeCell ref="F13:I13"/>
    <x:mergeCell ref="A14:D14"/>
    <x:mergeCell ref="F14:I14"/>
    <x:mergeCell ref="A1:I1"/>
    <x:mergeCell ref="A2:I2"/>
    <x:mergeCell ref="A3:I3"/>
    <x:mergeCell ref="A4:A5"/>
    <x:mergeCell ref="D4:D5"/>
    <x:mergeCell ref="E4:E5"/>
    <x:mergeCell ref="F4:F5"/>
    <x:mergeCell ref="G4:G5"/>
    <x:mergeCell ref="H4:H5"/>
    <x:mergeCell ref="I4:I5"/>
    <x:mergeCell ref="B4:C4"/>
  </x:mergeCells>
  <x:conditionalFormatting sqref="H6:H11">
    <x:cfRule type="containsText" dxfId="35" priority="1" operator="containsText" text="Cần chụp"/>
    <x:cfRule type="containsText" dxfId="36" priority="2" operator="containsText" text="Tái sử dụng"/>
    <x:cfRule type="containsText" dxfId="37" priority="3" operator="containsText" text="Có sẵn"/>
    <x:cfRule type="containsText" dxfId="38" priority="4" operator="containsText" text="Có sẵn · cần tối ưu"/>
    <x:cfRule type="containsText" dxfId="39" priority="5" operator="containsText" text="Cần thiết kế"/>
    <x:cfRule type="containsText" dxfId="40" priority="6" operator="containsText" text="Cần xuất"/>
    <x:cfRule type="containsText" dxfId="41" priority="7" operator="containsText" text="Không cần ảnh"/>
  </x:conditionalFormatting>
  <x:dataValidations count="4">
    <x:dataValidation type="list" sqref="H7">
      <x:formula1>"Cần chụp,Tái sử dụng,Có sẵn,Có sẵn · cần tối ưu,Cần thiết kế,Cần xuất,Không cần ảnh"</x:formula1>
    </x:dataValidation>
    <x:dataValidation type="list" sqref="H9">
      <x:formula1>"Cần chụp,Tái sử dụng,Có sẵn,Có sẵn · cần tối ưu,Cần thiết kế,Cần xuất,Không cần ảnh"</x:formula1>
    </x:dataValidation>
    <x:dataValidation type="list" sqref="H10">
      <x:formula1>"Cần chụp,Tái sử dụng,Có sẵn,Có sẵn · cần tối ưu,Cần thiết kế,Cần xuất,Không cần ảnh"</x:formula1>
    </x:dataValidation>
    <x:dataValidation type="list" sqref="H11">
      <x:formula1>"Cần chụp,Tái sử dụng,Có sẵn,Có sẵn · cần tối ưu,Cần thiết kế,Cần xuất,Không cần ảnh"</x:formula1>
    </x:dataValidation>
  </x:dataValidations>
  <x:pageMargins left="0.7" right="0.7" top="0.75" bottom="0.75" header="0.3" footer="0.3"/>
  <x:drawing xmlns:r="http://schemas.openxmlformats.org/officeDocument/2006/relationships" r:id="R098056241ae944b0"/>
</x:worksheet>
</file>

<file path=xl/worksheets/sheet8.xml><?xml version="1.0" encoding="utf-8"?>
<x:worksheet xmlns:x="http://schemas.openxmlformats.org/spreadsheetml/2006/main">
  <x:sheetPr>
    <x:tabColor rgb="FF3C759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5" hidden="0" customWidth="1"/>
    <x:col min="2" max="2" width="15.75" hidden="0" customWidth="1"/>
    <x:col min="3" max="3" width="43.75" hidden="0" customWidth="1"/>
    <x:col min="4" max="4" width="17.5" hidden="0" customWidth="1"/>
    <x:col min="5" max="5" width="8.75" hidden="0" customWidth="1"/>
    <x:col min="6" max="6" width="13.75" hidden="0" customWidth="1"/>
    <x:col min="7" max="7" width="48.75" hidden="0" customWidth="1"/>
    <x:col min="8" max="8" width="18.1299991607666" hidden="0" customWidth="1"/>
    <x:col min="9" max="9" width="26.25" hidden="0" customWidth="1"/>
  </x:cols>
  <x:sheetData>
    <x:row r="1" ht="33" customHeight="1">
      <x:c r="A1" s="30" t="str">
        <x:v>LAKA HOMESTAY · DI CHUYỂN</x:v>
      </x:c>
      <x:c r="B1" s="30"/>
      <x:c r="C1" s="30"/>
      <x:c r="D1" s="30"/>
      <x:c r="E1" s="30"/>
      <x:c r="F1" s="30"/>
      <x:c r="G1" s="30"/>
      <x:c r="H1" s="30"/>
      <x:c r="I1" s="30"/>
    </x:row>
    <x:row r="2" ht="19.5" customHeight="1">
      <x:c r="A2" s="25" t="str">
        <x:v>Phạm vi: /di-chuyen · /en/directions</x:v>
      </x:c>
      <x:c r="B2" s="25"/>
      <x:c r="C2" s="25"/>
      <x:c r="D2" s="25"/>
      <x:c r="E2" s="25"/>
      <x:c r="F2" s="25"/>
      <x:c r="G2" s="25"/>
      <x:c r="H2" s="25"/>
      <x:c r="I2" s="25"/>
    </x:row>
    <x:row r="3" ht="21" customHeight="1">
      <x:c r="A3" s="32" t="str">
        <x:v>Cách đọc: Số lượng là số ảnh gốc cần chụp. Bản dùng cho máy tính và điện thoại được cắt từ cùng một ảnh gốc.</x:v>
      </x:c>
      <x:c r="B3" s="32"/>
      <x:c r="C3" s="32"/>
      <x:c r="D3" s="32"/>
      <x:c r="E3" s="32"/>
      <x:c r="F3" s="32"/>
      <x:c r="G3" s="32"/>
      <x:c r="H3" s="32"/>
      <x:c r="I3" s="32"/>
    </x:row>
    <x:row r="4" ht="21" customHeight="1">
      <x:c r="A4" s="38" t="str">
        <x:v>STT</x:v>
      </x:c>
      <x:c r="B4" s="38" t="str">
        <x:v>VỊ TRÍ (ẢNH + TÊN)</x:v>
      </x:c>
      <x:c r="C4" s="38"/>
      <x:c r="D4" s="38" t="str">
        <x:v>HẠNG MỤC</x:v>
      </x:c>
      <x:c r="E4" s="38" t="str">
        <x:v>SỐ LƯỢNG</x:v>
      </x:c>
      <x:c r="F4" s="38" t="str">
        <x:v>ĐỊNH DẠNG</x:v>
      </x:c>
      <x:c r="G4" s="38" t="str">
        <x:v>KÍCH THƯỚC ẢNH CẦN GIAO</x:v>
      </x:c>
      <x:c r="H4" s="38" t="str">
        <x:v>TRẠNG THÁI</x:v>
      </x:c>
      <x:c r="I4" s="38" t="str">
        <x:v>GHI CHÚ</x:v>
      </x:c>
    </x:row>
    <x:row r="5" ht="21" customHeight="1">
      <x:c r="A5" s="38"/>
      <x:c r="B5" s="38" t="str">
        <x:v>Ảnh UI</x:v>
      </x:c>
      <x:c r="C5" s="38" t="str">
        <x:v>Tên / vị trí</x:v>
      </x:c>
      <x:c r="D5" s="38"/>
      <x:c r="E5" s="38"/>
      <x:c r="F5" s="38"/>
      <x:c r="G5" s="38"/>
      <x:c r="H5" s="38"/>
      <x:c r="I5" s="38"/>
    </x:row>
    <x:row r="6" ht="18" customHeight="1">
      <x:c r="A6" s="3" t="str">
        <x:v>BANNER TRANG</x:v>
      </x:c>
      <x:c r="B6" s="4"/>
      <x:c r="C6" s="4"/>
      <x:c r="D6" s="4"/>
      <x:c r="E6" s="4"/>
      <x:c r="F6" s="4"/>
      <x:c r="G6" s="4"/>
      <x:c r="H6" s="4"/>
      <x:c r="I6" s="5"/>
    </x:row>
    <x:row r="7" ht="73.5" customHeight="1">
      <x:c r="A7" s="11" t="n">
        <x:v>1</x:v>
      </x:c>
      <x:c r="B7" s="10" t="str"/>
      <x:c r="C7" s="12" t="str">
        <x:v>DIRECTION-HERO · /di-chuyen</x:v>
      </x:c>
      <x:c r="D7" s="10" t="str">
        <x:v>Ảnh hero</x:v>
      </x:c>
      <x:c r="E7" s="11" t="n">
        <x:v>0</x:v>
      </x:c>
      <x:c r="F7" s="10" t="str">
        <x:v>WebP</x:v>
      </x:c>
      <x:c r="G7" s="10" t="str">
        <x:v>Máy tính: ảnh ngang 2400 × 1350 pixel
Điện thoại: ảnh dọc 1600 × 2000 pixel
Cắt từ cùng một ảnh gốc</x:v>
      </x:c>
      <x:c r="H7" s="11" t="str">
        <x:v>Tái sử dụng</x:v>
      </x:c>
      <x:c r="I7" s="10" t="str"/>
    </x:row>
    <x:row r="8" ht="18" customHeight="1">
      <x:c r="A8" s="3" t="str">
        <x:v>BẢN ĐỒ CHỈ ĐƯỜNG</x:v>
      </x:c>
      <x:c r="B8" s="4"/>
      <x:c r="C8" s="4"/>
      <x:c r="D8" s="4"/>
      <x:c r="E8" s="4"/>
      <x:c r="F8" s="4"/>
      <x:c r="G8" s="4"/>
      <x:c r="H8" s="4"/>
      <x:c r="I8" s="5"/>
    </x:row>
    <x:row r="9" ht="73.5" customHeight="1">
      <x:c r="A9" s="18" t="n">
        <x:v>2</x:v>
      </x:c>
      <x:c r="B9" s="17" t="str"/>
      <x:c r="C9" s="19" t="str">
        <x:v>DIRECTION-MAP-01 · Sơ đồ LAKA</x:v>
      </x:c>
      <x:c r="D9" s="17" t="str">
        <x:v>Đồ họa bản đồ</x:v>
      </x:c>
      <x:c r="E9" s="18" t="n">
        <x:v>1</x:v>
      </x:c>
      <x:c r="F9" s="17" t="str">
        <x:v>SVG + WebP</x:v>
      </x:c>
      <x:c r="G9" s="17" t="str">
        <x:v>Giao 2 file:
1 file SVG có thể phóng to không vỡ
1 file WebP ngang 2000 × 1400 pixel</x:v>
      </x:c>
      <x:c r="H9" s="18" t="str">
        <x:v>Cần thiết kế</x:v>
      </x:c>
      <x:c r="I9" s="17" t="str"/>
    </x:row>
    <x:row r="11" ht="22.5" customHeight="1">
      <x:c r="A11" s="22" t="str">
        <x:v>TỔNG ẢNH GỐC CẦN CHỤP</x:v>
      </x:c>
      <x:c r="B11" s="22"/>
      <x:c r="C11" s="22"/>
      <x:c r="D11" s="22"/>
      <x:c r="E11" s="23" t="n">
        <x:f>SUMIFS($E$6:$E$9,$H$6:$H$9,"Cần chụp")</x:f>
        <x:v>0</x:v>
      </x:c>
      <x:c r="F11" s="22" t="str">
        <x:v>Ảnh cho máy tính và điện thoại được cắt từ cùng ảnh gốc</x:v>
      </x:c>
      <x:c r="G11" s="22"/>
      <x:c r="H11" s="22"/>
      <x:c r="I11" s="22"/>
    </x:row>
    <x:row r="12" ht="22.5" customHeight="1">
      <x:c r="A12" s="26" t="str">
        <x:v>FILE / ĐỒ HỌA KHÁC CẦN XỬ LÝ</x:v>
      </x:c>
      <x:c r="B12" s="26"/>
      <x:c r="C12" s="26"/>
      <x:c r="D12" s="26"/>
      <x:c r="E12" s="27" t="n">
        <x:f>SUMIFS($E$6:$E$9,$H$6:$H$9,"&lt;&gt;Cần chụp",$H$6:$H$9,"&lt;&gt;Tái sử dụng",$H$6:$H$9,"&lt;&gt;Không cần ảnh",$H$6:$H$9,"&lt;&gt;Có sẵn")</x:f>
        <x:v>1</x:v>
      </x:c>
      <x:c r="F12" s="26" t="str">
        <x:v>Gồm file cần tối ưu, thiết kế hoặc xuất</x:v>
      </x:c>
      <x:c r="G12" s="26"/>
      <x:c r="H12" s="26"/>
      <x:c r="I12" s="26"/>
    </x:row>
  </x:sheetData>
  <x:mergeCells>
    <x:mergeCell ref="A6:I6"/>
    <x:mergeCell ref="A8:I8"/>
    <x:mergeCell ref="A11:D11"/>
    <x:mergeCell ref="F11:I11"/>
    <x:mergeCell ref="A12:D12"/>
    <x:mergeCell ref="F12:I12"/>
    <x:mergeCell ref="A1:I1"/>
    <x:mergeCell ref="A2:I2"/>
    <x:mergeCell ref="A3:I3"/>
    <x:mergeCell ref="A4:A5"/>
    <x:mergeCell ref="D4:D5"/>
    <x:mergeCell ref="E4:E5"/>
    <x:mergeCell ref="F4:F5"/>
    <x:mergeCell ref="G4:G5"/>
    <x:mergeCell ref="H4:H5"/>
    <x:mergeCell ref="I4:I5"/>
    <x:mergeCell ref="B4:C4"/>
  </x:mergeCells>
  <x:conditionalFormatting sqref="H6:H9">
    <x:cfRule type="containsText" dxfId="42" priority="1" operator="containsText" text="Cần chụp"/>
    <x:cfRule type="containsText" dxfId="43" priority="2" operator="containsText" text="Tái sử dụng"/>
    <x:cfRule type="containsText" dxfId="44" priority="3" operator="containsText" text="Có sẵn"/>
    <x:cfRule type="containsText" dxfId="45" priority="4" operator="containsText" text="Có sẵn · cần tối ưu"/>
    <x:cfRule type="containsText" dxfId="46" priority="5" operator="containsText" text="Cần thiết kế"/>
    <x:cfRule type="containsText" dxfId="47" priority="6" operator="containsText" text="Cần xuất"/>
    <x:cfRule type="containsText" dxfId="48" priority="7" operator="containsText" text="Không cần ảnh"/>
  </x:conditionalFormatting>
  <x:dataValidations count="2">
    <x:dataValidation type="list" sqref="H7">
      <x:formula1>"Cần chụp,Tái sử dụng,Có sẵn,Có sẵn · cần tối ưu,Cần thiết kế,Cần xuất,Không cần ảnh"</x:formula1>
    </x:dataValidation>
    <x:dataValidation type="list" sqref="H9">
      <x:formula1>"Cần chụp,Tái sử dụng,Có sẵn,Có sẵn · cần tối ưu,Cần thiết kế,Cần xuất,Không cần ảnh"</x:formula1>
    </x:dataValidation>
  </x:dataValidations>
  <x:pageMargins left="0.7" right="0.7" top="0.75" bottom="0.75" header="0.3" footer="0.3"/>
  <x:drawing xmlns:r="http://schemas.openxmlformats.org/officeDocument/2006/relationships" r:id="R48e97bcb51884a89"/>
</x:worksheet>
</file>

<file path=xl/worksheets/sheet9.xml><?xml version="1.0" encoding="utf-8"?>
<x:worksheet xmlns:x="http://schemas.openxmlformats.org/spreadsheetml/2006/main">
  <x:sheetPr>
    <x:tabColor rgb="FF7B858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5" hidden="0" customWidth="1"/>
    <x:col min="2" max="2" width="15.75" hidden="0" customWidth="1"/>
    <x:col min="3" max="3" width="43.75" hidden="0" customWidth="1"/>
    <x:col min="4" max="4" width="17.5" hidden="0" customWidth="1"/>
    <x:col min="5" max="5" width="8.75" hidden="0" customWidth="1"/>
    <x:col min="6" max="6" width="13.75" hidden="0" customWidth="1"/>
    <x:col min="7" max="7" width="48.75" hidden="0" customWidth="1"/>
    <x:col min="8" max="8" width="18.1299991607666" hidden="0" customWidth="1"/>
    <x:col min="9" max="9" width="26.25" hidden="0" customWidth="1"/>
  </x:cols>
  <x:sheetData>
    <x:row r="1" ht="33" customHeight="1">
      <x:c r="A1" s="30" t="str">
        <x:v>LAKA HOMESTAY · THÔNG TIN &amp; PHÁP LÝ</x:v>
      </x:c>
      <x:c r="B1" s="30"/>
      <x:c r="C1" s="30"/>
      <x:c r="D1" s="30"/>
      <x:c r="E1" s="30"/>
      <x:c r="F1" s="30"/>
      <x:c r="G1" s="30"/>
      <x:c r="H1" s="30"/>
      <x:c r="I1" s="30"/>
    </x:row>
    <x:row r="2" ht="19.5" customHeight="1">
      <x:c r="A2" s="25" t="str">
        <x:v>Phạm vi: 6 trang VI · 6 trang EN</x:v>
      </x:c>
      <x:c r="B2" s="25"/>
      <x:c r="C2" s="25"/>
      <x:c r="D2" s="25"/>
      <x:c r="E2" s="25"/>
      <x:c r="F2" s="25"/>
      <x:c r="G2" s="25"/>
      <x:c r="H2" s="25"/>
      <x:c r="I2" s="25"/>
    </x:row>
    <x:row r="3" ht="21" customHeight="1">
      <x:c r="A3" s="32" t="str">
        <x:v>Cách đọc: Số lượng là số ảnh gốc cần chụp. Bản dùng cho máy tính và điện thoại được cắt từ cùng một ảnh gốc.</x:v>
      </x:c>
      <x:c r="B3" s="32"/>
      <x:c r="C3" s="32"/>
      <x:c r="D3" s="32"/>
      <x:c r="E3" s="32"/>
      <x:c r="F3" s="32"/>
      <x:c r="G3" s="32"/>
      <x:c r="H3" s="32"/>
      <x:c r="I3" s="32"/>
    </x:row>
    <x:row r="4" ht="21" customHeight="1">
      <x:c r="A4" s="38" t="str">
        <x:v>STT</x:v>
      </x:c>
      <x:c r="B4" s="38" t="str">
        <x:v>VỊ TRÍ (ẢNH + TÊN)</x:v>
      </x:c>
      <x:c r="C4" s="38"/>
      <x:c r="D4" s="38" t="str">
        <x:v>HẠNG MỤC</x:v>
      </x:c>
      <x:c r="E4" s="38" t="str">
        <x:v>SỐ LƯỢNG</x:v>
      </x:c>
      <x:c r="F4" s="38" t="str">
        <x:v>ĐỊNH DẠNG</x:v>
      </x:c>
      <x:c r="G4" s="38" t="str">
        <x:v>KÍCH THƯỚC ẢNH CẦN GIAO</x:v>
      </x:c>
      <x:c r="H4" s="38" t="str">
        <x:v>TRẠNG THÁI</x:v>
      </x:c>
      <x:c r="I4" s="38" t="str">
        <x:v>GHI CHÚ</x:v>
      </x:c>
    </x:row>
    <x:row r="5" ht="21" customHeight="1">
      <x:c r="A5" s="38"/>
      <x:c r="B5" s="38" t="str">
        <x:v>Ảnh UI</x:v>
      </x:c>
      <x:c r="C5" s="38" t="str">
        <x:v>Tên / vị trí</x:v>
      </x:c>
      <x:c r="D5" s="38"/>
      <x:c r="E5" s="38"/>
      <x:c r="F5" s="38"/>
      <x:c r="G5" s="38"/>
      <x:c r="H5" s="38"/>
      <x:c r="I5" s="38"/>
    </x:row>
    <x:row r="6" ht="18" customHeight="1">
      <x:c r="A6" s="3" t="str">
        <x:v>TRANG THÔNG TIN/PHÁP LÝ</x:v>
      </x:c>
      <x:c r="B6" s="4"/>
      <x:c r="C6" s="4"/>
      <x:c r="D6" s="4"/>
      <x:c r="E6" s="4"/>
      <x:c r="F6" s="4"/>
      <x:c r="G6" s="4"/>
      <x:c r="H6" s="4"/>
      <x:c r="I6" s="5"/>
    </x:row>
    <x:row r="7" ht="73.5" customHeight="1">
      <x:c r="A7" s="11" t="n">
        <x:v>1</x:v>
      </x:c>
      <x:c r="B7" s="10" t="str"/>
      <x:c r="C7" s="12" t="str">
        <x:v>INFO-HERO-01 · Thông tin · /thong-tin</x:v>
      </x:c>
      <x:c r="D7" s="10" t="str">
        <x:v>Ảnh hero</x:v>
      </x:c>
      <x:c r="E7" s="11" t="n">
        <x:v>0</x:v>
      </x:c>
      <x:c r="F7" s="10" t="str">
        <x:v>WebP</x:v>
      </x:c>
      <x:c r="G7" s="10" t="str">
        <x:v>Máy tính: ảnh ngang 2400 × 1350 pixel
Điện thoại: ảnh dọc 1600 × 2000 pixel
Cắt từ cùng một ảnh gốc</x:v>
      </x:c>
      <x:c r="H7" s="11" t="str">
        <x:v>Tái sử dụng</x:v>
      </x:c>
      <x:c r="I7" s="10" t="str"/>
    </x:row>
    <x:row r="8" ht="73.5" customHeight="1">
      <x:c r="A8" s="18" t="n">
        <x:v>2</x:v>
      </x:c>
      <x:c r="B8" s="17" t="str"/>
      <x:c r="C8" s="19" t="str">
        <x:v>INFO-HERO-02 · FAQ · /faq</x:v>
      </x:c>
      <x:c r="D8" s="17" t="str">
        <x:v>Ảnh hero</x:v>
      </x:c>
      <x:c r="E8" s="18" t="n">
        <x:v>0</x:v>
      </x:c>
      <x:c r="F8" s="17" t="str">
        <x:v>WebP</x:v>
      </x:c>
      <x:c r="G8" s="17" t="str">
        <x:v>Máy tính: ảnh ngang 2400 × 1350 pixel
Điện thoại: ảnh dọc 1600 × 2000 pixel
Cắt từ cùng một ảnh gốc</x:v>
      </x:c>
      <x:c r="H8" s="18" t="str">
        <x:v>Tái sử dụng</x:v>
      </x:c>
      <x:c r="I8" s="17" t="str"/>
    </x:row>
    <x:row r="9" ht="73.5" customHeight="1">
      <x:c r="A9" s="11" t="n">
        <x:v>3</x:v>
      </x:c>
      <x:c r="B9" s="10" t="str"/>
      <x:c r="C9" s="12" t="str">
        <x:v>INFO-HERO-03 · Chính sách lưu trú · /chinh-sach-luu-tru</x:v>
      </x:c>
      <x:c r="D9" s="10" t="str">
        <x:v>Ảnh hero</x:v>
      </x:c>
      <x:c r="E9" s="11" t="n">
        <x:v>0</x:v>
      </x:c>
      <x:c r="F9" s="10" t="str">
        <x:v>WebP</x:v>
      </x:c>
      <x:c r="G9" s="10" t="str">
        <x:v>Máy tính: ảnh ngang 2400 × 1350 pixel
Điện thoại: ảnh dọc 1600 × 2000 pixel
Cắt từ cùng một ảnh gốc</x:v>
      </x:c>
      <x:c r="H9" s="11" t="str">
        <x:v>Tái sử dụng</x:v>
      </x:c>
      <x:c r="I9" s="10" t="str"/>
    </x:row>
    <x:row r="10" ht="73.5" customHeight="1">
      <x:c r="A10" s="18" t="n">
        <x:v>4</x:v>
      </x:c>
      <x:c r="B10" s="17" t="str"/>
      <x:c r="C10" s="19" t="str">
        <x:v>INFO-HERO-04 · Điều khoản · /dieu-khoan</x:v>
      </x:c>
      <x:c r="D10" s="17" t="str">
        <x:v>Ảnh hero</x:v>
      </x:c>
      <x:c r="E10" s="18" t="n">
        <x:v>0</x:v>
      </x:c>
      <x:c r="F10" s="17" t="str">
        <x:v>WebP</x:v>
      </x:c>
      <x:c r="G10" s="17" t="str">
        <x:v>Máy tính: ảnh ngang 2400 × 1350 pixel
Điện thoại: ảnh dọc 1600 × 2000 pixel
Cắt từ cùng một ảnh gốc</x:v>
      </x:c>
      <x:c r="H10" s="18" t="str">
        <x:v>Tái sử dụng</x:v>
      </x:c>
      <x:c r="I10" s="17" t="str"/>
    </x:row>
    <x:row r="11" ht="73.5" customHeight="1">
      <x:c r="A11" s="11" t="n">
        <x:v>5</x:v>
      </x:c>
      <x:c r="B11" s="10" t="str"/>
      <x:c r="C11" s="12" t="str">
        <x:v>INFO-HERO-05 · Bảo mật · /bao-mat</x:v>
      </x:c>
      <x:c r="D11" s="10" t="str">
        <x:v>Ảnh hero</x:v>
      </x:c>
      <x:c r="E11" s="11" t="n">
        <x:v>0</x:v>
      </x:c>
      <x:c r="F11" s="10" t="str">
        <x:v>WebP</x:v>
      </x:c>
      <x:c r="G11" s="10" t="str">
        <x:v>Máy tính: ảnh ngang 2400 × 1350 pixel
Điện thoại: ảnh dọc 1600 × 2000 pixel
Cắt từ cùng một ảnh gốc</x:v>
      </x:c>
      <x:c r="H11" s="11" t="str">
        <x:v>Tái sử dụng</x:v>
      </x:c>
      <x:c r="I11" s="10" t="str"/>
    </x:row>
    <x:row r="12" ht="73.5" customHeight="1">
      <x:c r="A12" s="18" t="n">
        <x:v>6</x:v>
      </x:c>
      <x:c r="B12" s="17" t="str"/>
      <x:c r="C12" s="19" t="str">
        <x:v>INFO-HERO-06 · Liên hệ · /lien-he</x:v>
      </x:c>
      <x:c r="D12" s="17" t="str">
        <x:v>Ảnh hero</x:v>
      </x:c>
      <x:c r="E12" s="18" t="n">
        <x:v>0</x:v>
      </x:c>
      <x:c r="F12" s="17" t="str">
        <x:v>WebP</x:v>
      </x:c>
      <x:c r="G12" s="17" t="str">
        <x:v>Máy tính: ảnh ngang 2400 × 1350 pixel
Điện thoại: ảnh dọc 1600 × 2000 pixel
Cắt từ cùng một ảnh gốc</x:v>
      </x:c>
      <x:c r="H12" s="18" t="str">
        <x:v>Tái sử dụng</x:v>
      </x:c>
      <x:c r="I12" s="17" t="str"/>
    </x:row>
    <x:row r="14" ht="22.5" customHeight="1">
      <x:c r="A14" s="22" t="str">
        <x:v>TỔNG ẢNH GỐC CẦN CHỤP</x:v>
      </x:c>
      <x:c r="B14" s="22"/>
      <x:c r="C14" s="22"/>
      <x:c r="D14" s="22"/>
      <x:c r="E14" s="23" t="n">
        <x:f>SUMIFS($E$6:$E$12,$H$6:$H$12,"Cần chụp")</x:f>
        <x:v>0</x:v>
      </x:c>
      <x:c r="F14" s="22" t="str">
        <x:v>Ảnh cho máy tính và điện thoại được cắt từ cùng ảnh gốc</x:v>
      </x:c>
      <x:c r="G14" s="22"/>
      <x:c r="H14" s="22"/>
      <x:c r="I14" s="22"/>
    </x:row>
    <x:row r="15" ht="22.5" customHeight="1">
      <x:c r="A15" s="26" t="str">
        <x:v>FILE / ĐỒ HỌA KHÁC CẦN XỬ LÝ</x:v>
      </x:c>
      <x:c r="B15" s="26"/>
      <x:c r="C15" s="26"/>
      <x:c r="D15" s="26"/>
      <x:c r="E15" s="27" t="n">
        <x:f>SUMIFS($E$6:$E$12,$H$6:$H$12,"&lt;&gt;Cần chụp",$H$6:$H$12,"&lt;&gt;Tái sử dụng",$H$6:$H$12,"&lt;&gt;Không cần ảnh",$H$6:$H$12,"&lt;&gt;Có sẵn")</x:f>
        <x:v>0</x:v>
      </x:c>
      <x:c r="F15" s="26" t="str">
        <x:v>Gồm file cần tối ưu, thiết kế hoặc xuất</x:v>
      </x:c>
      <x:c r="G15" s="26"/>
      <x:c r="H15" s="26"/>
      <x:c r="I15" s="26"/>
    </x:row>
  </x:sheetData>
  <x:mergeCells>
    <x:mergeCell ref="A6:I6"/>
    <x:mergeCell ref="A14:D14"/>
    <x:mergeCell ref="F14:I14"/>
    <x:mergeCell ref="A15:D15"/>
    <x:mergeCell ref="F15:I15"/>
    <x:mergeCell ref="A1:I1"/>
    <x:mergeCell ref="A2:I2"/>
    <x:mergeCell ref="A3:I3"/>
    <x:mergeCell ref="A4:A5"/>
    <x:mergeCell ref="D4:D5"/>
    <x:mergeCell ref="E4:E5"/>
    <x:mergeCell ref="F4:F5"/>
    <x:mergeCell ref="G4:G5"/>
    <x:mergeCell ref="H4:H5"/>
    <x:mergeCell ref="I4:I5"/>
    <x:mergeCell ref="B4:C4"/>
  </x:mergeCells>
  <x:conditionalFormatting sqref="H6:H12">
    <x:cfRule type="containsText" dxfId="49" priority="1" operator="containsText" text="Cần chụp"/>
    <x:cfRule type="containsText" dxfId="50" priority="2" operator="containsText" text="Tái sử dụng"/>
    <x:cfRule type="containsText" dxfId="51" priority="3" operator="containsText" text="Có sẵn"/>
    <x:cfRule type="containsText" dxfId="52" priority="4" operator="containsText" text="Có sẵn · cần tối ưu"/>
    <x:cfRule type="containsText" dxfId="53" priority="5" operator="containsText" text="Cần thiết kế"/>
    <x:cfRule type="containsText" dxfId="54" priority="6" operator="containsText" text="Cần xuất"/>
    <x:cfRule type="containsText" dxfId="55" priority="7" operator="containsText" text="Không cần ảnh"/>
  </x:conditionalFormatting>
  <x:dataValidations count="6">
    <x:dataValidation type="list" sqref="H7">
      <x:formula1>"Cần chụp,Tái sử dụng,Có sẵn,Có sẵn · cần tối ưu,Cần thiết kế,Cần xuất,Không cần ảnh"</x:formula1>
    </x:dataValidation>
    <x:dataValidation type="list" sqref="H8">
      <x:formula1>"Cần chụp,Tái sử dụng,Có sẵn,Có sẵn · cần tối ưu,Cần thiết kế,Cần xuất,Không cần ảnh"</x:formula1>
    </x:dataValidation>
    <x:dataValidation type="list" sqref="H9">
      <x:formula1>"Cần chụp,Tái sử dụng,Có sẵn,Có sẵn · cần tối ưu,Cần thiết kế,Cần xuất,Không cần ảnh"</x:formula1>
    </x:dataValidation>
    <x:dataValidation type="list" sqref="H10">
      <x:formula1>"Cần chụp,Tái sử dụng,Có sẵn,Có sẵn · cần tối ưu,Cần thiết kế,Cần xuất,Không cần ảnh"</x:formula1>
    </x:dataValidation>
    <x:dataValidation type="list" sqref="H11">
      <x:formula1>"Cần chụp,Tái sử dụng,Có sẵn,Có sẵn · cần tối ưu,Cần thiết kế,Cần xuất,Không cần ảnh"</x:formula1>
    </x:dataValidation>
    <x:dataValidation type="list" sqref="H12">
      <x:formula1>"Cần chụp,Tái sử dụng,Có sẵn,Có sẵn · cần tối ưu,Cần thiết kế,Cần xuất,Không cần ảnh"</x:formula1>
    </x:dataValidation>
  </x:dataValidations>
  <x:pageMargins left="0.7" right="0.7" top="0.75" bottom="0.75" header="0.3" footer="0.3"/>
  <x:drawing xmlns:r="http://schemas.openxmlformats.org/officeDocument/2006/relationships" r:id="Rec60742166fa4f11"/>
</x:worksheet>
</file>

<file path=xl/worksheets/sheet10.xml><?xml version="1.0" encoding="utf-8"?>
<x:worksheet xmlns:x="http://schemas.openxmlformats.org/spreadsheetml/2006/main">
  <x:sheetPr>
    <x:tabColor rgb="FFA7684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5" hidden="0" customWidth="1"/>
    <x:col min="2" max="2" width="15.75" hidden="0" customWidth="1"/>
    <x:col min="3" max="3" width="43.75" hidden="0" customWidth="1"/>
    <x:col min="4" max="4" width="17.5" hidden="0" customWidth="1"/>
    <x:col min="5" max="5" width="8.75" hidden="0" customWidth="1"/>
    <x:col min="6" max="6" width="13.75" hidden="0" customWidth="1"/>
    <x:col min="7" max="7" width="48.75" hidden="0" customWidth="1"/>
    <x:col min="8" max="8" width="18.1299991607666" hidden="0" customWidth="1"/>
    <x:col min="9" max="9" width="26.25" hidden="0" customWidth="1"/>
  </x:cols>
  <x:sheetData>
    <x:row r="1" ht="33" customHeight="1">
      <x:c r="A1" s="30" t="str">
        <x:v>LAKA HOMESTAY · BRAND &amp; SEO</x:v>
      </x:c>
      <x:c r="B1" s="30"/>
      <x:c r="C1" s="30"/>
      <x:c r="D1" s="30"/>
      <x:c r="E1" s="30"/>
      <x:c r="F1" s="30"/>
      <x:c r="G1" s="30"/>
      <x:c r="H1" s="30"/>
      <x:c r="I1" s="30"/>
    </x:row>
    <x:row r="2" ht="19.5" customHeight="1">
      <x:c r="A2" s="25" t="str">
        <x:v>Phạm vi: Tài nguyên dùng toàn website</x:v>
      </x:c>
      <x:c r="B2" s="25"/>
      <x:c r="C2" s="25"/>
      <x:c r="D2" s="25"/>
      <x:c r="E2" s="25"/>
      <x:c r="F2" s="25"/>
      <x:c r="G2" s="25"/>
      <x:c r="H2" s="25"/>
      <x:c r="I2" s="25"/>
    </x:row>
    <x:row r="3" ht="21" customHeight="1">
      <x:c r="A3" s="32" t="str">
        <x:v>Cách đọc: Số lượng là số ảnh gốc cần chụp. Bản dùng cho máy tính và điện thoại được cắt từ cùng một ảnh gốc.</x:v>
      </x:c>
      <x:c r="B3" s="32"/>
      <x:c r="C3" s="32"/>
      <x:c r="D3" s="32"/>
      <x:c r="E3" s="32"/>
      <x:c r="F3" s="32"/>
      <x:c r="G3" s="32"/>
      <x:c r="H3" s="32"/>
      <x:c r="I3" s="32"/>
    </x:row>
    <x:row r="4" ht="21" customHeight="1">
      <x:c r="A4" s="38" t="str">
        <x:v>STT</x:v>
      </x:c>
      <x:c r="B4" s="38" t="str">
        <x:v>VỊ TRÍ (ẢNH + TÊN)</x:v>
      </x:c>
      <x:c r="C4" s="38"/>
      <x:c r="D4" s="38" t="str">
        <x:v>HẠNG MỤC</x:v>
      </x:c>
      <x:c r="E4" s="38" t="str">
        <x:v>SỐ LƯỢNG</x:v>
      </x:c>
      <x:c r="F4" s="38" t="str">
        <x:v>ĐỊNH DẠNG</x:v>
      </x:c>
      <x:c r="G4" s="38" t="str">
        <x:v>KÍCH THƯỚC ẢNH CẦN GIAO</x:v>
      </x:c>
      <x:c r="H4" s="38" t="str">
        <x:v>TRẠNG THÁI</x:v>
      </x:c>
      <x:c r="I4" s="38" t="str">
        <x:v>GHI CHÚ</x:v>
      </x:c>
    </x:row>
    <x:row r="5" ht="21" customHeight="1">
      <x:c r="A5" s="38"/>
      <x:c r="B5" s="38" t="str">
        <x:v>Ảnh UI</x:v>
      </x:c>
      <x:c r="C5" s="38" t="str">
        <x:v>Tên / vị trí</x:v>
      </x:c>
      <x:c r="D5" s="38"/>
      <x:c r="E5" s="38"/>
      <x:c r="F5" s="38"/>
      <x:c r="G5" s="38"/>
      <x:c r="H5" s="38"/>
      <x:c r="I5" s="38"/>
    </x:row>
    <x:row r="6" ht="18" customHeight="1">
      <x:c r="A6" s="3" t="str">
        <x:v>BỘ NHẬN DIỆN CÓ SẴN</x:v>
      </x:c>
      <x:c r="B6" s="4"/>
      <x:c r="C6" s="4"/>
      <x:c r="D6" s="4"/>
      <x:c r="E6" s="4"/>
      <x:c r="F6" s="4"/>
      <x:c r="G6" s="4"/>
      <x:c r="H6" s="4"/>
      <x:c r="I6" s="5"/>
    </x:row>
    <x:row r="7" ht="61.5" customHeight="1">
      <x:c r="A7" s="11" t="n">
        <x:v>1</x:v>
      </x:c>
      <x:c r="B7" s="10" t="str"/>
      <x:c r="C7" s="12" t="str">
        <x:v>BRAND-01 · Logo ngang</x:v>
      </x:c>
      <x:c r="D7" s="10" t="str">
        <x:v>Logo</x:v>
      </x:c>
      <x:c r="E7" s="11" t="n">
        <x:v>1</x:v>
      </x:c>
      <x:c r="F7" s="10" t="str">
        <x:v>PNG</x:v>
      </x:c>
      <x:c r="G7" s="10" t="str">
        <x:v>Giữ nguyên file gốc 2776 × 886 pixel</x:v>
      </x:c>
      <x:c r="H7" s="11" t="str">
        <x:v>Có sẵn</x:v>
      </x:c>
      <x:c r="I7" s="10" t="str"/>
    </x:row>
    <x:row r="8" ht="61.5" customHeight="1">
      <x:c r="A8" s="18" t="n">
        <x:v>2</x:v>
      </x:c>
      <x:c r="B8" s="17" t="str"/>
      <x:c r="C8" s="19" t="str">
        <x:v>BRAND-02 · Logo + EST. 2026</x:v>
      </x:c>
      <x:c r="D8" s="17" t="str">
        <x:v>Logo</x:v>
      </x:c>
      <x:c r="E8" s="18" t="n">
        <x:v>1</x:v>
      </x:c>
      <x:c r="F8" s="17" t="str">
        <x:v>PNG</x:v>
      </x:c>
      <x:c r="G8" s="17" t="str">
        <x:v>Giữ nguyên file gốc 2776 × 1169 pixel</x:v>
      </x:c>
      <x:c r="H8" s="18" t="str">
        <x:v>Có sẵn</x:v>
      </x:c>
      <x:c r="I8" s="17" t="str"/>
    </x:row>
    <x:row r="9" ht="61.5" customHeight="1">
      <x:c r="A9" s="11" t="n">
        <x:v>3</x:v>
      </x:c>
      <x:c r="B9" s="10" t="str"/>
      <x:c r="C9" s="12" t="str">
        <x:v>BRAND-03 · Biểu tượng</x:v>
      </x:c>
      <x:c r="D9" s="10" t="str">
        <x:v>Logo/icon</x:v>
      </x:c>
      <x:c r="E9" s="11" t="n">
        <x:v>1</x:v>
      </x:c>
      <x:c r="F9" s="10" t="str">
        <x:v>PNG</x:v>
      </x:c>
      <x:c r="G9" s="10" t="str">
        <x:v>Giữ nguyên file gốc 1330 × 1330 pixel</x:v>
      </x:c>
      <x:c r="H9" s="11" t="str">
        <x:v>Có sẵn</x:v>
      </x:c>
      <x:c r="I9" s="10" t="str"/>
    </x:row>
    <x:row r="10" ht="61.5" customHeight="1">
      <x:c r="A10" s="18" t="n">
        <x:v>4</x:v>
      </x:c>
      <x:c r="B10" s="17" t="str"/>
      <x:c r="C10" s="19" t="str">
        <x:v>BRAND-04 · Wordmark</x:v>
      </x:c>
      <x:c r="D10" s="17" t="str">
        <x:v>Logo</x:v>
      </x:c>
      <x:c r="E10" s="18" t="n">
        <x:v>1</x:v>
      </x:c>
      <x:c r="F10" s="17" t="str">
        <x:v>PNG</x:v>
      </x:c>
      <x:c r="G10" s="17" t="str">
        <x:v>Giữ nguyên file gốc 2765 × 583 pixel</x:v>
      </x:c>
      <x:c r="H10" s="18" t="str">
        <x:v>Có sẵn</x:v>
      </x:c>
      <x:c r="I10" s="17" t="str"/>
    </x:row>
    <x:row r="11" ht="18" customHeight="1">
      <x:c r="A11" s="3" t="str">
        <x:v>ICON TRÌNH DUYỆT</x:v>
      </x:c>
      <x:c r="B11" s="4"/>
      <x:c r="C11" s="4"/>
      <x:c r="D11" s="4"/>
      <x:c r="E11" s="4"/>
      <x:c r="F11" s="4"/>
      <x:c r="G11" s="4"/>
      <x:c r="H11" s="4"/>
      <x:c r="I11" s="5"/>
    </x:row>
    <x:row r="12" ht="61.5" customHeight="1">
      <x:c r="A12" s="11" t="n">
        <x:v>5</x:v>
      </x:c>
      <x:c r="B12" s="10" t="str"/>
      <x:c r="C12" s="12" t="str">
        <x:v>SEO-ICON-01 · Favicon/app icon</x:v>
      </x:c>
      <x:c r="D12" s="10" t="str">
        <x:v>Bộ icon</x:v>
      </x:c>
      <x:c r="E12" s="11" t="n">
        <x:v>1</x:v>
      </x:c>
      <x:c r="F12" s="10" t="str">
        <x:v>PNG + ICO</x:v>
      </x:c>
      <x:c r="G12" s="10" t="str">
        <x:v>Giao 4 cỡ hình vuông:
32 × 32, 180 × 180, 192 × 192 và 512 × 512 pixel</x:v>
      </x:c>
      <x:c r="H12" s="11" t="str">
        <x:v>Cần xuất</x:v>
      </x:c>
      <x:c r="I12" s="10" t="str"/>
    </x:row>
    <x:row r="13" ht="18" customHeight="1">
      <x:c r="A13" s="3" t="str">
        <x:v>CHIA SẺ MẠNG XÃ HỘI</x:v>
      </x:c>
      <x:c r="B13" s="4"/>
      <x:c r="C13" s="4"/>
      <x:c r="D13" s="4"/>
      <x:c r="E13" s="4"/>
      <x:c r="F13" s="4"/>
      <x:c r="G13" s="4"/>
      <x:c r="H13" s="4"/>
      <x:c r="I13" s="5"/>
    </x:row>
    <x:row r="14" ht="61.5" customHeight="1">
      <x:c r="A14" s="18" t="n">
        <x:v>6</x:v>
      </x:c>
      <x:c r="B14" s="17" t="str"/>
      <x:c r="C14" s="19" t="str">
        <x:v>SEO-OG-01 · OpenGraph preview</x:v>
      </x:c>
      <x:c r="D14" s="17" t="str">
        <x:v>Ảnh social</x:v>
      </x:c>
      <x:c r="E14" s="18" t="n">
        <x:v>1</x:v>
      </x:c>
      <x:c r="F14" s="17" t="str">
        <x:v>JPG/WebP</x:v>
      </x:c>
      <x:c r="G14" s="17" t="str">
        <x:v>Ảnh ngang 1200 × 630 pixel</x:v>
      </x:c>
      <x:c r="H14" s="18" t="str">
        <x:v>Cần xuất</x:v>
      </x:c>
      <x:c r="I14" s="17" t="str"/>
    </x:row>
    <x:row r="16" ht="22.5" customHeight="1">
      <x:c r="A16" s="22" t="str">
        <x:v>TỔNG ẢNH GỐC CẦN CHỤP</x:v>
      </x:c>
      <x:c r="B16" s="22"/>
      <x:c r="C16" s="22"/>
      <x:c r="D16" s="22"/>
      <x:c r="E16" s="23" t="n">
        <x:f>SUMIFS($E$6:$E$14,$H$6:$H$14,"Cần chụp")</x:f>
        <x:v>0</x:v>
      </x:c>
      <x:c r="F16" s="22" t="str">
        <x:v>Ảnh cho máy tính và điện thoại được cắt từ cùng ảnh gốc</x:v>
      </x:c>
      <x:c r="G16" s="22"/>
      <x:c r="H16" s="22"/>
      <x:c r="I16" s="22"/>
    </x:row>
    <x:row r="17" ht="22.5" customHeight="1">
      <x:c r="A17" s="26" t="str">
        <x:v>FILE / ĐỒ HỌA KHÁC CẦN XỬ LÝ</x:v>
      </x:c>
      <x:c r="B17" s="26"/>
      <x:c r="C17" s="26"/>
      <x:c r="D17" s="26"/>
      <x:c r="E17" s="27" t="n">
        <x:f>SUMIFS($E$6:$E$14,$H$6:$H$14,"&lt;&gt;Cần chụp",$H$6:$H$14,"&lt;&gt;Tái sử dụng",$H$6:$H$14,"&lt;&gt;Không cần ảnh",$H$6:$H$14,"&lt;&gt;Có sẵn")</x:f>
        <x:v>2</x:v>
      </x:c>
      <x:c r="F17" s="26" t="str">
        <x:v>Gồm file cần tối ưu, thiết kế hoặc xuất</x:v>
      </x:c>
      <x:c r="G17" s="26"/>
      <x:c r="H17" s="26"/>
      <x:c r="I17" s="26"/>
    </x:row>
  </x:sheetData>
  <x:mergeCells>
    <x:mergeCell ref="A6:I6"/>
    <x:mergeCell ref="A11:I11"/>
    <x:mergeCell ref="A13:I13"/>
    <x:mergeCell ref="A16:D16"/>
    <x:mergeCell ref="F16:I16"/>
    <x:mergeCell ref="A17:D17"/>
    <x:mergeCell ref="F17:I17"/>
    <x:mergeCell ref="A1:I1"/>
    <x:mergeCell ref="A2:I2"/>
    <x:mergeCell ref="A3:I3"/>
    <x:mergeCell ref="A4:A5"/>
    <x:mergeCell ref="D4:D5"/>
    <x:mergeCell ref="E4:E5"/>
    <x:mergeCell ref="F4:F5"/>
    <x:mergeCell ref="G4:G5"/>
    <x:mergeCell ref="H4:H5"/>
    <x:mergeCell ref="I4:I5"/>
    <x:mergeCell ref="B4:C4"/>
  </x:mergeCells>
  <x:conditionalFormatting sqref="H6:H14">
    <x:cfRule type="containsText" dxfId="56" priority="1" operator="containsText" text="Cần chụp"/>
    <x:cfRule type="containsText" dxfId="57" priority="2" operator="containsText" text="Tái sử dụng"/>
    <x:cfRule type="containsText" dxfId="58" priority="3" operator="containsText" text="Có sẵn"/>
    <x:cfRule type="containsText" dxfId="59" priority="4" operator="containsText" text="Có sẵn · cần tối ưu"/>
    <x:cfRule type="containsText" dxfId="60" priority="5" operator="containsText" text="Cần thiết kế"/>
    <x:cfRule type="containsText" dxfId="61" priority="6" operator="containsText" text="Cần xuất"/>
    <x:cfRule type="containsText" dxfId="62" priority="7" operator="containsText" text="Không cần ảnh"/>
  </x:conditionalFormatting>
  <x:dataValidations count="6">
    <x:dataValidation type="list" sqref="H7">
      <x:formula1>"Cần chụp,Tái sử dụng,Có sẵn,Có sẵn · cần tối ưu,Cần thiết kế,Cần xuất,Không cần ảnh"</x:formula1>
    </x:dataValidation>
    <x:dataValidation type="list" sqref="H8">
      <x:formula1>"Cần chụp,Tái sử dụng,Có sẵn,Có sẵn · cần tối ưu,Cần thiết kế,Cần xuất,Không cần ảnh"</x:formula1>
    </x:dataValidation>
    <x:dataValidation type="list" sqref="H9">
      <x:formula1>"Cần chụp,Tái sử dụng,Có sẵn,Có sẵn · cần tối ưu,Cần thiết kế,Cần xuất,Không cần ảnh"</x:formula1>
    </x:dataValidation>
    <x:dataValidation type="list" sqref="H10">
      <x:formula1>"Cần chụp,Tái sử dụng,Có sẵn,Có sẵn · cần tối ưu,Cần thiết kế,Cần xuất,Không cần ảnh"</x:formula1>
    </x:dataValidation>
    <x:dataValidation type="list" sqref="H12">
      <x:formula1>"Cần chụp,Tái sử dụng,Có sẵn,Có sẵn · cần tối ưu,Cần thiết kế,Cần xuất,Không cần ảnh"</x:formula1>
    </x:dataValidation>
    <x:dataValidation type="list" sqref="H14">
      <x:formula1>"Cần chụp,Tái sử dụng,Có sẵn,Có sẵn · cần tối ưu,Cần thiết kế,Cần xuất,Không cần ảnh"</x:formula1>
    </x:dataValidation>
  </x:dataValidations>
  <x:pageMargins left="0.7" right="0.7" top="0.75" bottom="0.75" header="0.3" footer="0.3"/>
  <x:drawing xmlns:r="http://schemas.openxmlformats.org/officeDocument/2006/relationships" r:id="Rf9d95ec07e8e4577"/>
</x:worksheet>
</file>